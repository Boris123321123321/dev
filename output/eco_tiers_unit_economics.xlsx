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Читать сначала" sheetId="1" state="visible" r:id="rId1"/>
    <sheet name="Допущения" sheetId="2" state="visible" r:id="rId2"/>
    <sheet name="Данные_бонусы" sheetId="3" state="visible" r:id="rId3"/>
    <sheet name="Выручка_вход" sheetId="4" state="visible" r:id="rId4"/>
    <sheet name="Unit-экономика" sheetId="5" state="visible" r:id="rId5"/>
    <sheet name="Тир_Период" sheetId="6" state="visible" r:id="rId6"/>
    <sheet name="Миграция" sheetId="7" state="visible" r:id="rId7"/>
    <sheet name="Сценарии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#,##0 ₽;(#,##0 ₽);-"/>
    <numFmt numFmtId="165" formatCode="0.00&quot;×&quot;"/>
    <numFmt numFmtId="166" formatCode="0.0%;(0.0%);-"/>
    <numFmt numFmtId="167" formatCode="#,##0.00 ₽;(#,##0.00 ₽);-"/>
    <numFmt numFmtId="168" formatCode="0&quot; мес&quot;"/>
    <numFmt numFmtId="169" formatCode="yyyy-mm-dd"/>
    <numFmt numFmtId="170" formatCode="DD.MM.YYYY"/>
    <numFmt numFmtId="171" formatCode="#,##0;(#,##0);-"/>
    <numFmt numFmtId="172" formatCode="0.00%;(0.00%);-"/>
    <numFmt numFmtId="173" formatCode="0.0&quot;×&quot;"/>
  </numFmts>
  <fonts count="12">
    <font>
      <name val="Calibri"/>
      <family val="2"/>
      <color theme="1"/>
      <sz val="11"/>
      <scheme val="minor"/>
    </font>
    <font>
      <name val="Arial"/>
      <b val="1"/>
      <color rgb="00000000"/>
      <sz val="14"/>
    </font>
    <font>
      <name val="Arial"/>
      <i val="1"/>
      <color rgb="00595959"/>
      <sz val="9"/>
    </font>
    <font>
      <name val="Arial"/>
      <b val="1"/>
      <color rgb="00000000"/>
      <sz val="11"/>
    </font>
    <font>
      <name val="Arial"/>
      <color rgb="00000000"/>
      <sz val="10"/>
    </font>
    <font>
      <name val="Arial"/>
      <b val="1"/>
      <color rgb="00FFFFFF"/>
      <sz val="10"/>
    </font>
    <font>
      <name val="Arial"/>
      <color rgb="000000FF"/>
      <sz val="10"/>
    </font>
    <font>
      <name val="Arial"/>
      <color rgb="00008000"/>
      <sz val="10"/>
    </font>
    <font>
      <name val="Arial"/>
      <b val="1"/>
      <color rgb="00000000"/>
      <sz val="10"/>
    </font>
    <font>
      <name val="Arial"/>
      <b val="1"/>
      <i val="1"/>
      <color rgb="00595959"/>
      <sz val="9"/>
    </font>
    <font>
      <name val="Arial"/>
      <color rgb="00595959"/>
      <sz val="9"/>
    </font>
    <font>
      <name val="Arial"/>
      <b val="1"/>
      <color rgb="00008000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00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top" wrapText="1"/>
    </xf>
    <xf numFmtId="0" fontId="4" fillId="0" borderId="1" pivotButton="0" quotePrefix="0" xfId="0"/>
    <xf numFmtId="164" fontId="6" fillId="3" borderId="1" pivotButton="0" quotePrefix="0" xfId="0"/>
    <xf numFmtId="165" fontId="6" fillId="3" borderId="1" pivotButton="0" quotePrefix="0" xfId="0"/>
    <xf numFmtId="0" fontId="2" fillId="0" borderId="0" applyAlignment="1" pivotButton="0" quotePrefix="0" xfId="0">
      <alignment vertical="top" wrapText="1"/>
    </xf>
    <xf numFmtId="0" fontId="6" fillId="3" borderId="1" pivotButton="0" quotePrefix="0" xfId="0"/>
    <xf numFmtId="166" fontId="6" fillId="3" borderId="1" pivotButton="0" quotePrefix="0" xfId="0"/>
    <xf numFmtId="0" fontId="2" fillId="0" borderId="1" applyAlignment="1" pivotButton="0" quotePrefix="0" xfId="0">
      <alignment vertical="top" wrapText="1"/>
    </xf>
    <xf numFmtId="167" fontId="6" fillId="4" borderId="1" pivotButton="0" quotePrefix="0" xfId="0"/>
    <xf numFmtId="168" fontId="6" fillId="3" borderId="1" pivotButton="0" quotePrefix="0" xfId="0"/>
    <xf numFmtId="168" fontId="4" fillId="0" borderId="1" pivotButton="0" quotePrefix="0" xfId="0"/>
    <xf numFmtId="170" fontId="6" fillId="4" borderId="1" pivotButton="0" quotePrefix="0" xfId="0"/>
    <xf numFmtId="0" fontId="2" fillId="0" borderId="1" pivotButton="0" quotePrefix="0" xfId="0"/>
    <xf numFmtId="1" fontId="6" fillId="4" borderId="1" pivotButton="0" quotePrefix="0" xfId="0"/>
    <xf numFmtId="2" fontId="6" fillId="3" borderId="1" pivotButton="0" quotePrefix="0" xfId="0"/>
    <xf numFmtId="167" fontId="4" fillId="0" borderId="1" pivotButton="0" quotePrefix="0" xfId="0"/>
    <xf numFmtId="0" fontId="5" fillId="2" borderId="1" applyAlignment="1" pivotButton="0" quotePrefix="0" xfId="0">
      <alignment horizontal="center" vertical="center"/>
    </xf>
    <xf numFmtId="171" fontId="6" fillId="4" borderId="1" pivotButton="0" quotePrefix="0" xfId="0"/>
    <xf numFmtId="164" fontId="6" fillId="4" borderId="1" pivotButton="0" quotePrefix="0" xfId="0"/>
    <xf numFmtId="168" fontId="7" fillId="0" borderId="1" pivotButton="0" quotePrefix="0" xfId="0"/>
    <xf numFmtId="164" fontId="4" fillId="0" borderId="1" pivotButton="0" quotePrefix="0" xfId="0"/>
    <xf numFmtId="2" fontId="4" fillId="0" borderId="1" pivotButton="0" quotePrefix="0" xfId="0"/>
    <xf numFmtId="0" fontId="8" fillId="0" borderId="1" pivotButton="0" quotePrefix="0" xfId="0"/>
    <xf numFmtId="171" fontId="8" fillId="0" borderId="1" pivotButton="0" quotePrefix="0" xfId="0"/>
    <xf numFmtId="164" fontId="8" fillId="0" borderId="1" pivotButton="0" quotePrefix="0" xfId="0"/>
    <xf numFmtId="167" fontId="8" fillId="0" borderId="1" pivotButton="0" quotePrefix="0" xfId="0"/>
    <xf numFmtId="2" fontId="8" fillId="0" borderId="1" pivotButton="0" quotePrefix="0" xfId="0"/>
    <xf numFmtId="0" fontId="8" fillId="3" borderId="0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71" fontId="6" fillId="3" borderId="1" pivotButton="0" quotePrefix="0" xfId="0"/>
    <xf numFmtId="171" fontId="4" fillId="0" borderId="1" pivotButton="0" quotePrefix="0" xfId="0"/>
    <xf numFmtId="0" fontId="9" fillId="0" borderId="1" pivotButton="0" quotePrefix="0" xfId="0"/>
    <xf numFmtId="0" fontId="10" fillId="0" borderId="1" pivotButton="0" quotePrefix="0" xfId="0"/>
    <xf numFmtId="165" fontId="7" fillId="0" borderId="1" pivotButton="0" quotePrefix="0" xfId="0"/>
    <xf numFmtId="165" fontId="8" fillId="0" borderId="1" pivotButton="0" quotePrefix="0" xfId="0"/>
    <xf numFmtId="171" fontId="7" fillId="0" borderId="1" pivotButton="0" quotePrefix="0" xfId="0"/>
    <xf numFmtId="164" fontId="7" fillId="0" borderId="1" pivotButton="0" quotePrefix="0" xfId="0"/>
    <xf numFmtId="167" fontId="7" fillId="0" borderId="1" pivotButton="0" quotePrefix="0" xfId="0"/>
    <xf numFmtId="172" fontId="4" fillId="0" borderId="1" pivotButton="0" quotePrefix="0" xfId="0"/>
    <xf numFmtId="172" fontId="8" fillId="0" borderId="1" pivotButton="0" quotePrefix="0" xfId="0"/>
    <xf numFmtId="1" fontId="6" fillId="3" borderId="1" pivotButton="0" quotePrefix="0" xfId="0"/>
    <xf numFmtId="164" fontId="11" fillId="0" borderId="1" pivotButton="0" quotePrefix="0" xfId="0"/>
    <xf numFmtId="172" fontId="8" fillId="3" borderId="1" pivotButton="0" quotePrefix="0" xfId="0"/>
    <xf numFmtId="173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Модель</author>
  </authors>
  <commentList>
    <comment ref="B14" authorId="0" shapeId="0">
      <text>
        <t>Грязная маржа = валовая выручка × эта ставка.
ТРЕБУЕТ ПОДТВЕРЖДЕНИЯ финансами.
В прошлой версии модели поля «Маржа ВВ/мес» были несовместимы с ВВ тех же сегментов (239% и 149% от выручки), поэтому вывести ставку из них нельзя.</t>
      </text>
    </comment>
  </commentList>
</comments>
</file>

<file path=xl/comments/comment2.xml><?xml version="1.0" encoding="utf-8"?>
<comments xmlns="http://schemas.openxmlformats.org/spreadsheetml/2006/main">
  <authors>
    <author>Модель</author>
  </authors>
  <commentList>
    <comment ref="C18" authorId="0" shapeId="0">
      <text>
        <t>Среднее число юзеров в тире за месяц (не сумма — это один и тот же пул).</t>
      </text>
    </comment>
    <comment ref="D18" authorId="0" shapeId="0">
      <text>
        <t>Среднее число юзеров в тире за месяц (не сумма — это один и тот же пул).</t>
      </text>
    </comment>
    <comment ref="E18" authorId="0" shapeId="0">
      <text>
        <t>Среднее число юзеров в тире за месяц (не сумма — это один и тот же пул).</t>
      </text>
    </comment>
    <comment ref="F18" authorId="0" shapeId="0">
      <text>
        <t>Среднее число юзеров в тире за месяц (не сумма — это один и тот же пул).</t>
      </text>
    </comment>
    <comment ref="G18" authorId="0" shapeId="0">
      <text>
        <t>Средневзвешенная по числу юзеров ВВ на юзера за месяц.</t>
      </text>
    </comment>
    <comment ref="H18" authorId="0" shapeId="0">
      <text>
        <t>Средневзвешенная по числу юзеров ВВ на юзера за месяц.</t>
      </text>
    </comment>
    <comment ref="I18" authorId="0" shapeId="0">
      <text>
        <t>Средневзвешенная по числу юзеров ВВ на юзера за месяц.</t>
      </text>
    </comment>
    <comment ref="J18" authorId="0" shapeId="0">
      <text>
        <t>Средневзвешенная по числу юзеров ВВ на юзера за месяц.</t>
      </text>
    </comment>
    <comment ref="L18" authorId="0" shapeId="0">
      <text>
        <t>Сумма ВВ когорты за 12 месяцев 2026 года.</t>
      </text>
    </comment>
  </commentList>
</comments>
</file>

<file path=xl/comments/comment3.xml><?xml version="1.0" encoding="utf-8"?>
<comments xmlns="http://schemas.openxmlformats.org/spreadsheetml/2006/main">
  <authors>
    <author>Модель</author>
  </authors>
  <commentList>
    <comment ref="C10" authorId="0" shapeId="0">
      <text>
        <t>Мигранты набираются в течение года, поэтому в первый год каждый работает в среднем половину года. 6 мес — консервативно. Поставьте 12 для расчёта на полный год в стационарном режиме.</t>
      </text>
    </comment>
    <comment ref="D10" authorId="0" shapeId="0">
      <text>
        <t>Мигранты набираются в течение года, поэтому в первый год каждый работает в среднем половину года. 6 мес — консервативно. Поставьте 12 для расчёта на полный год в стационарном режиме.</t>
      </text>
    </comment>
    <comment ref="E10" authorId="0" shapeId="0">
      <text>
        <t>Мигранты набираются в течение года, поэтому в первый год каждый работает в среднем половину года. 6 мес — консервативно. Поставьте 12 для расчёта на полный год в стационарном режиме.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Эко-тиры: unit-экономика прогрессивных бонусов за утилизацию</t>
        </is>
      </c>
    </row>
    <row r="2">
      <c r="A2" s="2" t="inlineStr">
        <is>
          <t>Окно бонусов: 2025-06-01 — 2026-07-31 (14 мес). Разложение: по тирам и по месяцам с 01.2026.</t>
        </is>
      </c>
    </row>
    <row r="4">
      <c r="A4" s="3" t="inlineStr">
        <is>
          <t>СУТЬ МЕХАНИКИ</t>
        </is>
      </c>
    </row>
    <row r="5" ht="42" customHeight="1">
      <c r="A5" s="4" t="inlineStr">
        <is>
          <t>Коэффициент начисления эко-бонусов за сдачу вторсырья растёт вместе с валовой выручкой покупателя: 4 тира. Модель считает полную экономику — доход (грязная маржа с приростом ВВ) минус расход (все бонусные затраты, включая доплату тем, кто не менял поведение).</t>
        </is>
      </c>
    </row>
    <row r="7">
      <c r="A7" s="3" t="inlineStr">
        <is>
          <t>ЧТО ИЗМЕНИЛОСЬ В ЭТОЙ ВЕРСИИ</t>
        </is>
      </c>
    </row>
    <row r="8" ht="154" customHeight="1">
      <c r="A8" s="4" t="inlineStr">
        <is>
          <t>1. Расчёт переведён на unit-экономику: базовая единица — один пользователь за один месяц. Тиры и периоды получаются масштабированием юнита на число пользователей.
2. Убрана связка с АСР-сегментами ВВ. Тир определяется только границей валовой выручки за календарный месяц: Старт &lt; 3 000 ₽, Росток 3 000–12 000 ₽, Дерево 12 000–35 000 ₽, Лес ≥ 35 000 ₽.
3. База расчёта — валовая выручка. Грязная маржа = ВВ × ставка грязной маржи (лист «Допущения»).
4. Разложение по каждому тиру и по каждому месяцу начиная с 01.2026 — доходы и расходы (лист «Тир_Период»).
5. Все окна — в календарных месяцах. Окон «90 дней» и «30 дней» в модели больше нет: квалификация в тир — за календарный месяц, эмиссия бонусов нормирована на 14 месяцев фактической выгрузки.</t>
        </is>
      </c>
    </row>
    <row r="10">
      <c r="A10" s="3" t="inlineStr">
        <is>
          <t>ПОЧЕМУ СНЯТИЕ СВЯЗКИ С СЕГМЕНТАМИ СИЛЬНО МЕНЯЕТ ЦИФРЫ</t>
        </is>
      </c>
    </row>
    <row r="11" ht="70" customHeight="1">
      <c r="A11" s="4" t="inlineStr">
        <is>
          <t>В предыдущей версии тир присваивался по сегменту: Амбассадор → Лес (×2,85), Средний → Дерево (×2,15). Но по собственной экономике сегментов из АСР-выгрузки средняя ВВ Амбассадора ≈ 10 330 ₽/мес (5,0 покупок × 2 066 ₽), то есть до порога Леса в 35 000 ₽ он не доходит — это уровень Ростка. Средний ≈ 1 212 ₽/мес — это Старт. Связка «сегмент → тир» завышала присвоенные множители, а вместе с ними и «слепую доплату». По границам выручки доплата получается в несколько раз меньше — см. лист «Тир_Период».</t>
        </is>
      </c>
    </row>
    <row r="13">
      <c r="A13" s="3" t="inlineStr">
        <is>
          <t>ДАННЫЕ</t>
        </is>
      </c>
    </row>
    <row r="14" ht="70" customHeight="1">
      <c r="A14" s="4" t="inlineStr">
        <is>
          <t>• Факт (серое): выгрузка эко-бонусов 2025-06-01 — 2026-07-31: 248 950 карт  55 937 469 ₽ начислено за 14 мес = 3 995 533 ₽/мес = 16.05 ₽/юзер/мес.
• Границы тиров и множители — из постановки задачи (жёлтое  лист «Допущения»).
• Ставка грязной маржи — допущение  требует подтверждения финансами.</t>
        </is>
      </c>
    </row>
    <row r="16">
      <c r="A16" s="3" t="inlineStr">
        <is>
          <t>ЧЕГО ПОКА НЕТ — И ЧТО ЭТО ЗНАЧИТ</t>
        </is>
      </c>
    </row>
    <row r="17" ht="126" customHeight="1">
      <c r="A17" s="4" t="inlineStr">
        <is>
          <t>Выгрузка фактической валовой выручки по пользователям с начала 2026 года запрошена у аналитиков, но ещё не пришла. Поэтому распределение пользователей по тирам и средняя ВВ внутри тира на листе «Выручка_вход» — ПЛЕЙСХОЛДЕР (помечен жёлтым), а не факт. Он засеян логнормальным распределением со средней ВВ, собранной из агрегатов АСР-выгрузки, и log-СКО = 1.2 — только чтобы модель считалась от начала до конца и её можно было проверить.
Когда выгрузка придёт, весь лист «Выручка_вход» пересобирается одной командой:
    python3 scripts/build_model.py --bonus-aggregates data/bonus_aggregates.json --revenue &lt;файл.xlsx&gt;
Ни одна формула ниже при этом не меняется — меняются только входные числа.</t>
        </is>
      </c>
    </row>
    <row r="19">
      <c r="A19" s="3" t="inlineStr">
        <is>
          <t>ЧТО НЕ ЯВЛЯЕТСЯ ФАКТОМ В РАСХОДНОЙ ЧАСТИ</t>
        </is>
      </c>
    </row>
    <row r="20" ht="84" customHeight="1">
      <c r="A20" s="4" t="inlineStr">
        <is>
          <t>Выгрузка даёт суммарное начисление за 14 месяцев на карту, а не начисление по месяцам. Поэтому месячная эмиссия = среднее за окно × индекс месяца (индексы на листе «Допущения», по умолчанию 1,00 — то есть без сезонности). Разбивка бонусов по месяцам даст здесь факт.
Разбивка базового эко-бонуса по тирам — тоже допущение: индекс 1,00 для всех тиров. Основание из факта: начисление на юзера почти не зависит от покупательной силы (по АСР-сегментам индекс к среднему 0,68–1,21 без монотонного тренда — лист «Данные_бонусы»).</t>
        </is>
      </c>
    </row>
    <row r="22">
      <c r="A22" s="3" t="inlineStr">
        <is>
          <t>ЧЕСТНАЯ ОГОВОРКА ПРО ИНКРЕМЕНТАЛЬНОСТЬ</t>
        </is>
      </c>
    </row>
    <row r="23" ht="42" customHeight="1">
      <c r="A23" s="4" t="inlineStr">
        <is>
          <t>Прирост маржи при переходе в тир — разница средних ВВ тиров; часть переходов случилась бы и без механики. Реальную конверсию даст только A/B с holdout. Поэтому в модели три сценария конверсии, а порог безубыточности показан отдельно (лист «Сценарии»).</t>
        </is>
      </c>
    </row>
    <row r="25">
      <c r="A25" s="3" t="inlineStr">
        <is>
          <t>КАК ПОЛЬЗОВАТЬСЯ</t>
        </is>
      </c>
    </row>
    <row r="26" ht="28" customHeight="1">
      <c r="A26" s="4" t="inlineStr">
        <is>
          <t>Серое — факт, не менять. Жёлтое — допущения и ячейки под заполнение, их можно крутить. Синий шрифт — введённое руками число. Чёрный — формула. Зелёный — ссылка на другой лист.</t>
        </is>
      </c>
    </row>
  </sheetData>
  <pageMargins left="0.75" right="0.75" top="1" bottom="1" header="0.5" footer="0.5"/>
</worksheet>
</file>

<file path=xl/worksheets/sheet2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/>
  </s:sheetPr>
  <s:dimension ref="A1:M34"/>
  <s:sheetViews>
    <s:sheetView workbookViewId="0">
      <s:selection activeCell="A1" sqref="A1"/>
    </s:sheetView>
  </s:sheetViews>
  <s:sheetFormatPr baseColWidth="8" defaultRowHeight="15"/>
  <s:cols>
    <s:col width="26" customWidth="1" min="1" max="1"/>
    <s:col width="10" customWidth="1" min="2" max="2"/>
    <s:col width="10" customWidth="1" min="3" max="3"/>
    <s:col width="10" customWidth="1" min="4" max="4"/>
    <s:col width="10" customWidth="1" min="5" max="5"/>
    <s:col width="10" customWidth="1" min="6" max="6"/>
    <s:col width="10" customWidth="1" min="7" max="7"/>
    <s:col width="10" customWidth="1" min="8" max="8"/>
    <s:col width="10" customWidth="1" min="9" max="9"/>
    <s:col width="10" customWidth="1" min="10" max="10"/>
    <s:col width="10" customWidth="1" min="11" max="11"/>
    <s:col width="10" customWidth="1" min="12" max="12"/>
    <s:col width="10" customWidth="1" min="13" max="13"/>
  </s:cols>
  <s:sheetData>
    <s:row r="1">
      <s:c r="A1" s="1" t="inlineStr">
        <s:is>
          <s:t>Допущения и границы тиров</s:t>
        </s:is>
      </s:c>
    </s:row>
    <s:row r="2">
      <s:c r="A2" s="2" t="inlineStr">
        <s:is>
          <s:t>Жёлтое — можно менять. Границы — в валовой выручке за КАЛЕНДАРНЫЙ МЕСЯЦ.</s:t>
        </s:is>
      </s:c>
    </s:row>
    <s:row r="4">
      <s:c r="A4" s="3" t="inlineStr">
        <s:is>
          <s:t>A. Тиры: граница валовой выручки за календарный месяц</s:t>
        </s:is>
      </s:c>
    </s:row>
    <s:row r="5" ht="30" customHeight="1">
      <s:c r="A5" s="5" t="inlineStr">
        <s:is>
          <s:t>Тир</s:t>
        </s:is>
      </s:c>
      <s:c r="B5" s="5" t="inlineStr">
        <s:is>
          <s:t>ВВ/мес от, ₽</s:t>
        </s:is>
      </s:c>
      <s:c r="C5" s="5" t="inlineStr">
        <s:is>
          <s:t>ВВ/мес до, ₽</s:t>
        </s:is>
      </s:c>
      <s:c r="D5" s="5" t="inlineStr">
        <s:is>
          <s:t>Множитель бонуса</s:t>
        </s:is>
      </s:c>
    </s:row>
    <s:row r="6">
      <s:c r="A6" s="6" t="inlineStr">
        <s:is>
          <s:t>🌱 Старт</s:t>
        </s:is>
      </s:c>
      <s:c r="B6" s="7" t="n">
        <s:v>0</s:v>
      </s:c>
      <s:c r="C6" s="7" t="n">
        <s:v>3000</s:v>
      </s:c>
      <s:c r="D6" s="8" t="n">
        <s:v>1</s:v>
      </s:c>
      <s:c r="F6" s="9" t="inlineStr">
        <s:is>
          <s:t>Тир присваивается по валовой выручке за месяц. Привязки к АСР-сегментам ВВ в расчёте нет.</s:t>
        </s:is>
      </s:c>
    </s:row>
    <s:row r="7">
      <s:c r="A7" s="6" t="inlineStr">
        <s:is>
          <s:t>🌿 Росток</s:t>
        </s:is>
      </s:c>
      <s:c r="B7" s="7" t="n">
        <s:v>3000</s:v>
      </s:c>
      <s:c r="C7" s="7" t="n">
        <s:v>12000</s:v>
      </s:c>
      <s:c r="D7" s="8" t="n">
        <s:v>1.4</s:v>
      </s:c>
    </s:row>
    <s:row r="8">
      <s:c r="A8" s="6" t="inlineStr">
        <s:is>
          <s:t>🌳 Дерево</s:t>
        </s:is>
      </s:c>
      <s:c r="B8" s="7" t="n">
        <s:v>12000</s:v>
      </s:c>
      <s:c r="C8" s="7" t="n">
        <s:v>35000</s:v>
      </s:c>
      <s:c r="D8" s="8" t="n">
        <s:v>2.15</s:v>
      </s:c>
    </s:row>
    <s:row r="9">
      <s:c r="A9" s="6" t="inlineStr">
        <s:is>
          <s:t>🌲 Лес</s:t>
        </s:is>
      </s:c>
      <s:c r="B9" s="7" t="n">
        <s:v>35000</s:v>
      </s:c>
      <s:c r="C9" s="10" t="inlineStr">
        <s:is>
          <s:t>без ограничения</s:t>
        </s:is>
      </s:c>
      <s:c r="D9" s="8" t="n">
        <s:v>2.85</s:v>
      </s:c>
    </s:row>
    <s:row r="12">
      <s:c r="A12" s="3" t="inlineStr">
        <s:is>
          <s:t>B. Экономика</s:t>
        </s:is>
      </s:c>
    </s:row>
    <s:row r="13" ht="30" customHeight="1">
      <s:c r="A13" s="5" t="inlineStr">
        <s:is>
          <s:t>Параметр</s:t>
        </s:is>
      </s:c>
      <s:c r="B13" s="5" t="inlineStr">
        <s:is>
          <s:t>Значение</s:t>
        </s:is>
      </s:c>
      <s:c r="C13" s="5" t="inlineStr">
        <s:is>
          <s:t>Ед.</s:t>
        </s:is>
      </s:c>
      <s:c r="D13" s="5" t="inlineStr">
        <s:is>
          <s:t>Источник / комментарий</s:t>
        </s:is>
      </s:c>
    </s:row>
    <s:row r="14">
      <s:c r="A14" s="6" t="inlineStr">
        <s:is>
          <s:t>Ставка грязной маржи</s:t>
        </s:is>
      </s:c>
      <s:c r="B14" s="11" t="n">
        <s:v>0.3</s:v>
      </s:c>
      <s:c r="C14" s="6" t="inlineStr">
        <s:is>
          <s:t>% от ВВ</s:t>
        </s:is>
      </s:c>
      <s:c r="D14" s="12" t="inlineStr">
        <s:is>
          <s:t>ДОПУЩЕНИЕ. Из полей «Маржа ВВ/мес» прошлой версии ставку вывести нельзя: для Репертуарного это 239%, для Среднего 149% от их же ВВ.</s:t>
        </s:is>
      </s:c>
    </s:row>
    <s:row r="15">
      <s:c r="A15" s="6" t="inlineStr">
        <s:is>
          <s:t>Базовый эко-бонус</s:t>
        </s:is>
      </s:c>
      <s:c r="B15" s="13" t="n">
        <s:v>16.0495420049637</s:v>
      </s:c>
      <s:c r="C15" s="6" t="inlineStr">
        <s:is>
          <s:t>₽/юзер/мес</s:t>
        </s:is>
      </s:c>
      <s:c r="D15" s="12" t="inlineStr">
        <s:is>
          <s:t>ФАКТ: 55 937 469 ₽ / 248 950 карт / 14 мес. Источник: cec572a0-_________31_07_1_1.xlsx.</s:t>
        </s:is>
      </s:c>
    </s:row>
    <s:row r="16">
      <s:c r="A16" s="6" t="inlineStr">
        <s:is>
          <s:t>Окно квалификации в тир</s:t>
        </s:is>
      </s:c>
      <s:c r="B16" s="14" t="n">
        <s:v>1</s:v>
      </s:c>
      <s:c r="C16" s="6" t="inlineStr">
        <s:is>
          <s:t>мес</s:t>
        </s:is>
      </s:c>
      <s:c r="D16" s="12" t="inlineStr">
        <s:is>
          <s:t>Заменяет прежнее условие «за 30 дн покупок». Все окна модели — в месяцах.</s:t>
        </s:is>
      </s:c>
    </s:row>
    <s:row r="17">
      <s:c r="A17" s="6" t="inlineStr">
        <s:is>
          <s:t>Окно выгрузки бонусов</s:t>
        </s:is>
      </s:c>
      <s:c r="B17" s="15">
        <s:f>(YEAR(B19)-YEAR(B18))*12+MONTH(B19)-MONTH(B18)+1</s:f>
        <s:v>14.0</s:v>
      </s:c>
      <s:c r="C17" s="6" t="inlineStr">
        <s:is>
          <s:t>мес</s:t>
        </s:is>
      </s:c>
      <s:c r="D17" s="12" t="inlineStr">
        <s:is>
          <s:t>Число месяцев — формула от дат окна (B18, B19), а не константа. Заменяет прежнюю нормировку «×365/90».</s:t>
        </s:is>
      </s:c>
    </s:row>
    <s:row r="18">
      <s:c r="A18" s="6" t="inlineStr">
        <s:is>
          <s:t>Начало окна выгрузки</s:t>
        </s:is>
      </s:c>
      <s:c r="B18" s="16" t="n">
        <s:v>45809</s:v>
      </s:c>
      <s:c r="C18" s="6" t="inlineStr">
        <s:is>
          <s:t>дата</s:t>
        </s:is>
      </s:c>
      <s:c r="D18" s="17" t="inlineStr">
        <s:is>
          <s:t>ФАКТ из выгрузки бонусов.</s:t>
        </s:is>
      </s:c>
    </s:row>
    <s:row r="19">
      <s:c r="A19" s="6" t="inlineStr">
        <s:is>
          <s:t>Конец окна выгрузки</s:t>
        </s:is>
      </s:c>
      <s:c r="B19" s="16" t="n">
        <s:v>46234</s:v>
      </s:c>
      <s:c r="C19" s="6" t="inlineStr">
        <s:is>
          <s:t>дата</s:t>
        </s:is>
      </s:c>
      <s:c r="D19" s="17" t="inlineStr">
        <s:is>
          <s:t>ФАКТ из выгрузки бонусов.</s:t>
        </s:is>
      </s:c>
    </s:row>
    <s:row r="20">
      <s:c r="A20" s="6" t="inlineStr">
        <s:is>
          <s:t>Последний закрытый месяц факта 2026</s:t>
        </s:is>
      </s:c>
      <s:c r="B20" s="18" t="n">
        <s:v>7</s:v>
      </s:c>
      <s:c r="C20" s="6" t="inlineStr">
        <s:is>
          <s:t>номер мес</s:t>
        </s:is>
      </s:c>
      <s:c r="D20" s="12" t="inlineStr">
        <s:is>
          <s:t>Месяцы 2026 года до этого включительно попадают в окно выгрузки бонусов, дальше — прогноз.</s:t>
        </s:is>
      </s:c>
    </s:row>
    <s:row r="22">
      <s:c r="A22" s="3" t="inlineStr">
        <s:is>
          <s:t>C. Индекс базового эко-бонуса по тирам</s:t>
        </s:is>
      </s:c>
    </s:row>
    <s:row r="23">
      <s:c r="A23" s="2" t="inlineStr">
        <s:is>
          <s:t>Во сколько раз начисление на юзера в тире отличается от среднего. По умолчанию 1,00 — начисление не зависит от тира.</s:t>
        </s:is>
      </s:c>
    </s:row>
    <s:row r="24" ht="30" customHeight="1">
      <s:c r="A24" s="5" t="inlineStr">
        <s:is>
          <s:t>Тир</s:t>
        </s:is>
      </s:c>
      <s:c r="B24" s="5" t="inlineStr">
        <s:is>
          <s:t>Индекс</s:t>
        </s:is>
      </s:c>
      <s:c r="C24" s="5" t="inlineStr">
        <s:is>
          <s:t>Базовый бонус, ₽/юзер/мес</s:t>
        </s:is>
      </s:c>
      <s:c r="D24" s="5" t="inlineStr">
        <s:is>
          <s:t>Основание</s:t>
        </s:is>
      </s:c>
    </s:row>
    <s:row r="25">
      <s:c r="A25" s="6" t="inlineStr">
        <s:is>
          <s:t>🌱 Старт</s:t>
        </s:is>
      </s:c>
      <s:c r="B25" s="19" t="n">
        <s:v>1</s:v>
      </s:c>
      <s:c r="C25" s="20">
        <s:f>$B$15*B25</s:f>
        <s:v>16.0495420049637</s:v>
      </s:c>
      <s:c r="D25" s="12" t="inlineStr">
        <s:is>
          <s:t>ФАКТ-основание: по АСР-сегментам начисление на юзера почти не зависит от покупательной силы — индекс 0,68–1,21 без монотонного тренда (лист «Данные_бонусы»). Точную разбивку даст выгрузка бонусов в разрезе тиров.</s:t>
        </s:is>
      </s:c>
    </s:row>
    <s:row r="26">
      <s:c r="A26" s="6" t="inlineStr">
        <s:is>
          <s:t>🌿 Росток</s:t>
        </s:is>
      </s:c>
      <s:c r="B26" s="19" t="n">
        <s:v>1</s:v>
      </s:c>
      <s:c r="C26" s="20">
        <s:f>$B$15*B26</s:f>
        <s:v>16.0495420049637</s:v>
      </s:c>
      <s:c r="D26" s="6" t="inlineStr"/>
    </s:row>
    <s:row r="27">
      <s:c r="A27" s="6" t="inlineStr">
        <s:is>
          <s:t>🌳 Дерево</s:t>
        </s:is>
      </s:c>
      <s:c r="B27" s="19" t="n">
        <s:v>1</s:v>
      </s:c>
      <s:c r="C27" s="20">
        <s:f>$B$15*B27</s:f>
        <s:v>16.0495420049637</s:v>
      </s:c>
      <s:c r="D27" s="6" t="inlineStr"/>
    </s:row>
    <s:row r="28">
      <s:c r="A28" s="6" t="inlineStr">
        <s:is>
          <s:t>🌲 Лес</s:t>
        </s:is>
      </s:c>
      <s:c r="B28" s="19" t="n">
        <s:v>1</s:v>
      </s:c>
      <s:c r="C28" s="20">
        <s:f>$B$15*B28</s:f>
        <s:v>16.0495420049637</s:v>
      </s:c>
      <s:c r="D28" s="6" t="inlineStr"/>
    </s:row>
    <s:row r="31">
      <s:c r="A31" s="3" t="inlineStr">
        <s:is>
          <s:t>D. Индекс месяца для эмиссии бонусов</s:t>
        </s:is>
      </s:c>
    </s:row>
    <s:row r="32">
      <s:c r="A32" s="2" t="inlineStr">
        <s:is>
          <s:t>1,00 = эмиссия равна среднему за окно выгрузки. Правится, когда придёт разбивка начислений по месяцам.</s:t>
        </s:is>
      </s:c>
    </s:row>
    <s:row r="33">
      <s:c r="A33" s="21" t="inlineStr">
        <s:is>
          <s:t>Месяц</s:t>
        </s:is>
      </s:c>
      <s:c r="B33" s="21" t="inlineStr">
        <s:is>
          <s:t>2026-01</s:t>
        </s:is>
      </s:c>
      <s:c r="C33" s="21" t="inlineStr">
        <s:is>
          <s:t>2026-02</s:t>
        </s:is>
      </s:c>
      <s:c r="D33" s="21" t="inlineStr">
        <s:is>
          <s:t>2026-03</s:t>
        </s:is>
      </s:c>
      <s:c r="E33" s="21" t="inlineStr">
        <s:is>
          <s:t>2026-04</s:t>
        </s:is>
      </s:c>
      <s:c r="F33" s="21" t="inlineStr">
        <s:is>
          <s:t>2026-05</s:t>
        </s:is>
      </s:c>
      <s:c r="G33" s="21" t="inlineStr">
        <s:is>
          <s:t>2026-06</s:t>
        </s:is>
      </s:c>
      <s:c r="H33" s="21" t="inlineStr">
        <s:is>
          <s:t>2026-07</s:t>
        </s:is>
      </s:c>
      <s:c r="I33" s="21" t="inlineStr">
        <s:is>
          <s:t>2026-08</s:t>
        </s:is>
      </s:c>
      <s:c r="J33" s="21" t="inlineStr">
        <s:is>
          <s:t>2026-09</s:t>
        </s:is>
      </s:c>
      <s:c r="K33" s="21" t="inlineStr">
        <s:is>
          <s:t>2026-10</s:t>
        </s:is>
      </s:c>
      <s:c r="L33" s="21" t="inlineStr">
        <s:is>
          <s:t>2026-11</s:t>
        </s:is>
      </s:c>
      <s:c r="M33" s="21" t="inlineStr">
        <s:is>
          <s:t>2026-12</s:t>
        </s:is>
      </s:c>
    </s:row>
    <s:row r="34">
      <s:c r="A34" s="21" t="inlineStr">
        <s:is>
          <s:t>Индекс</s:t>
        </s:is>
      </s:c>
      <s:c r="B34" s="19" t="n">
        <s:v>1</s:v>
      </s:c>
      <s:c r="C34" s="19" t="n">
        <s:v>1</s:v>
      </s:c>
      <s:c r="D34" s="19" t="n">
        <s:v>1</s:v>
      </s:c>
      <s:c r="E34" s="19" t="n">
        <s:v>1</s:v>
      </s:c>
      <s:c r="F34" s="19" t="n">
        <s:v>1</s:v>
      </s:c>
      <s:c r="G34" s="19" t="n">
        <s:v>1</s:v>
      </s:c>
      <s:c r="H34" s="19" t="n">
        <s:v>1</s:v>
      </s:c>
      <s:c r="I34" s="19" t="n">
        <s:v>1</s:v>
      </s:c>
      <s:c r="J34" s="19" t="n">
        <s:v>1</s:v>
      </s:c>
      <s:c r="K34" s="19" t="n">
        <s:v>1</s:v>
      </s:c>
      <s:c r="L34" s="19" t="n">
        <s:v>1</s:v>
      </s:c>
      <s:c r="M34" s="19" t="n">
        <s:v>1</s:v>
      </s:c>
    </s:row>
  </s:sheetData>
  <s:pageMargins left="0.75" right="0.75" top="1" bottom="1" header="0.5" footer="0.5"/>
  <s:legacyDrawing r:id="anysvml"/>
</s:worksheet>
</file>

<file path=xl/worksheets/sheet3.xml><?xml version="1.0" encoding="utf-8"?>
<s:worksheet xmlns:s="http://schemas.openxmlformats.org/spreadsheetml/2006/main">
  <s:sheetPr>
    <s:outlinePr summaryBelow="1" summaryRight="1"/>
    <s:pageSetUpPr/>
  </s:sheetPr>
  <s:dimension ref="A1:E35"/>
  <s:sheetViews>
    <s:sheetView workbookViewId="0">
      <s:selection activeCell="A1" sqref="A1"/>
    </s:sheetView>
  </s:sheetViews>
  <s:sheetFormatPr baseColWidth="8" defaultRowHeight="15"/>
  <s:cols>
    <s:col width="34" customWidth="1" min="1" max="1"/>
    <s:col width="18" customWidth="1" min="2" max="2"/>
    <s:col width="20" customWidth="1" min="3" max="3"/>
    <s:col width="16" customWidth="1" min="4" max="4"/>
    <s:col width="18" customWidth="1" min="5" max="5"/>
  </s:cols>
  <s:sheetData>
    <s:row r="1">
      <s:c r="A1" s="1" t="inlineStr">
        <s:is>
          <s:t>Факт: выгрузка эко-бонусов</s:t>
        </s:is>
      </s:c>
    </s:row>
    <s:row r="2">
      <s:c r="A2" s="2" t="inlineStr">
        <s:is>
          <s:t>cec572a0-_________31_07_1_1.xlsx · 2025-06-01 — 2026-07-31 · серое = факт, не менять</s:t>
        </s:is>
      </s:c>
    </s:row>
    <s:row r="4">
      <s:c r="A4" s="3" t="inlineStr">
        <s:is>
          <s:t>A. Итог по выгрузке</s:t>
        </s:is>
      </s:c>
    </s:row>
    <s:row r="5" ht="30" customHeight="1">
      <s:c r="A5" s="5" t="inlineStr">
        <s:is>
          <s:t>Показатель</s:t>
        </s:is>
      </s:c>
      <s:c r="B5" s="5" t="inlineStr">
        <s:is>
          <s:t>Значение</s:t>
        </s:is>
      </s:c>
      <s:c r="C5" s="5" t="inlineStr">
        <s:is>
          <s:t>Ед.</s:t>
        </s:is>
      </s:c>
      <s:c r="D5" s="5" t="inlineStr">
        <s:is>
          <s:t>Как получено</s:t>
        </s:is>
      </s:c>
    </s:row>
    <s:row r="6">
      <s:c r="A6" s="6" t="inlineStr">
        <s:is>
          <s:t>Карт участников</s:t>
        </s:is>
      </s:c>
      <s:c r="B6" s="22" t="n">
        <s:v>248950</s:v>
      </s:c>
      <s:c r="C6" s="6" t="inlineStr">
        <s:is>
          <s:t>шт</s:t>
        </s:is>
      </s:c>
      <s:c r="D6" s="12" t="inlineStr">
        <s:is>
          <s:t>Строк в выгрузке (дублей карт нет)</s:t>
        </s:is>
      </s:c>
    </s:row>
    <s:row r="7">
      <s:c r="A7" s="6" t="inlineStr">
        <s:is>
          <s:t>Начислено за окно</s:t>
        </s:is>
      </s:c>
      <s:c r="B7" s="23" t="n">
        <s:v>55937468.74990001</s:v>
      </s:c>
      <s:c r="C7" s="6" t="inlineStr">
        <s:is>
          <s:t>₽</s:t>
        </s:is>
      </s:c>
      <s:c r="D7" s="12" t="inlineStr">
        <s:is>
          <s:t>Сумма bonusvalue</s:t>
        </s:is>
      </s:c>
    </s:row>
    <s:row r="8">
      <s:c r="A8" s="6" t="inlineStr">
        <s:is>
          <s:t>Месяцев в окне</s:t>
        </s:is>
      </s:c>
      <s:c r="B8" s="24">
        <s:f>Допущения!B17</s:f>
        <s:v>14.0</s:v>
      </s:c>
      <s:c r="C8" s="6" t="inlineStr">
        <s:is>
          <s:t>мес</s:t>
        </s:is>
      </s:c>
      <s:c r="D8" s="12" t="inlineStr">
        <s:is>
          <s:t>Ссылка на «Допущения»</s:t>
        </s:is>
      </s:c>
    </s:row>
    <s:row r="9">
      <s:c r="A9" s="6" t="inlineStr">
        <s:is>
          <s:t>Эмиссия в месяц</s:t>
        </s:is>
      </s:c>
      <s:c r="B9" s="25">
        <s:f>B7/B8</s:f>
        <s:v>3995533.4821357154</s:v>
      </s:c>
      <s:c r="C9" s="6" t="inlineStr">
        <s:is>
          <s:t>₽/мес</s:t>
        </s:is>
      </s:c>
      <s:c r="D9" s="12" t="inlineStr">
        <s:is>
          <s:t>Ссылка на «Допущения»</s:t>
        </s:is>
      </s:c>
    </s:row>
    <s:row r="10">
      <s:c r="A10" s="6" t="inlineStr">
        <s:is>
          <s:t>Эмиссия в год</s:t>
        </s:is>
      </s:c>
      <s:c r="B10" s="25">
        <s:f>B9*12</s:f>
        <s:v>47946401.78562859</s:v>
      </s:c>
      <s:c r="C10" s="6" t="inlineStr">
        <s:is>
          <s:t>₽/год</s:t>
        </s:is>
      </s:c>
      <s:c r="D10" s="12" t="inlineStr">
        <s:is>
          <s:t>Ссылка на «Допущения»</s:t>
        </s:is>
      </s:c>
    </s:row>
    <s:row r="11">
      <s:c r="A11" s="6" t="inlineStr">
        <s:is>
          <s:t>Базовый бонус на юзера</s:t>
        </s:is>
      </s:c>
      <s:c r="B11" s="20">
        <s:f>B9/B6</s:f>
        <s:v>16.04954200496371</s:v>
      </s:c>
      <s:c r="C11" s="6" t="inlineStr">
        <s:is>
          <s:t>₽/юзер/мес</s:t>
        </s:is>
      </s:c>
      <s:c r="D11" s="12" t="inlineStr">
        <s:is>
          <s:t>Ссылка на «Допущения»</s:t>
        </s:is>
      </s:c>
    </s:row>
    <s:row r="14">
      <s:c r="A14" s="3" t="inlineStr">
        <s:is>
          <s:t>B. Распределение начислений на карту за всё окно</s:t>
        </s:is>
      </s:c>
    </s:row>
    <s:row r="15" ht="28" customHeight="1">
      <s:c r="A15" s="9" t="inlineStr">
        <s:is>
          <s:t>Распределение крайне скошенное: медиана 50 ₽ за 14 мес против средних 224,69 ₽ — четверть карт получила меньше 20 ₽. Это про расходную часть: множитель к почти нулевой базе почти ничего не стоит.</s:t>
        </s:is>
      </s:c>
    </s:row>
    <s:row r="16" ht="30" customHeight="1">
      <s:c r="A16" s="5" t="inlineStr">
        <s:is>
          <s:t>Квантиль</s:t>
        </s:is>
      </s:c>
      <s:c r="B16" s="5" t="inlineStr">
        <s:is>
          <s:t>₽ за окно</s:t>
        </s:is>
      </s:c>
      <s:c r="C16" s="5" t="inlineStr">
        <s:is>
          <s:t>₽/юзер/мес</s:t>
        </s:is>
      </s:c>
    </s:row>
    <s:row r="17">
      <s:c r="A17" s="6" t="inlineStr">
        <s:is>
          <s:t>минимум</s:t>
        </s:is>
      </s:c>
      <s:c r="B17" s="13" t="n">
        <s:v>0.05</s:v>
      </s:c>
      <s:c r="C17" s="20">
        <s:f>B17/Допущения!$B$17</s:f>
        <s:v>0.0035714285714285718</s:v>
      </s:c>
    </s:row>
    <s:row r="18">
      <s:c r="A18" s="6" t="inlineStr">
        <s:is>
          <s:t>10-й перцентиль</s:t>
        </s:is>
      </s:c>
      <s:c r="B18" s="13" t="n">
        <s:v>7</s:v>
      </s:c>
      <s:c r="C18" s="20">
        <s:f>B18/Допущения!$B$17</s:f>
        <s:v>0.5</s:v>
      </s:c>
    </s:row>
    <s:row r="19">
      <s:c r="A19" s="6" t="inlineStr">
        <s:is>
          <s:t>25-й перцентиль</s:t>
        </s:is>
      </s:c>
      <s:c r="B19" s="13" t="n">
        <s:v>19.95</s:v>
      </s:c>
      <s:c r="C19" s="20">
        <s:f>B19/Допущения!$B$17</s:f>
        <s:v>1.425</s:v>
      </s:c>
    </s:row>
    <s:row r="20">
      <s:c r="A20" s="6" t="inlineStr">
        <s:is>
          <s:t>медиана</s:t>
        </s:is>
      </s:c>
      <s:c r="B20" s="13" t="n">
        <s:v>50</s:v>
      </s:c>
      <s:c r="C20" s="20">
        <s:f>B20/Допущения!$B$17</s:f>
        <s:v>3.5714285714285716</s:v>
      </s:c>
    </s:row>
    <s:row r="21">
      <s:c r="A21" s="6" t="inlineStr">
        <s:is>
          <s:t>75-й перцентиль</s:t>
        </s:is>
      </s:c>
      <s:c r="B21" s="13" t="n">
        <s:v>161.25</s:v>
      </s:c>
      <s:c r="C21" s="20">
        <s:f>B21/Допущения!$B$17</s:f>
        <s:v>11.517857142857142</s:v>
      </s:c>
    </s:row>
    <s:row r="22">
      <s:c r="A22" s="6" t="inlineStr">
        <s:is>
          <s:t>90-й перцентиль</s:t>
        </s:is>
      </s:c>
      <s:c r="B22" s="13" t="n">
        <s:v>457.1</s:v>
      </s:c>
      <s:c r="C22" s="20">
        <s:f>B22/Допущения!$B$17</s:f>
        <s:v>32.65</s:v>
      </s:c>
    </s:row>
    <s:row r="23">
      <s:c r="A23" s="6" t="inlineStr">
        <s:is>
          <s:t>95-й перцентиль</s:t>
        </s:is>
      </s:c>
      <s:c r="B23" s="13" t="n">
        <s:v>854.9549999999988</s:v>
      </s:c>
      <s:c r="C23" s="20">
        <s:f>B23/Допущения!$B$17</s:f>
        <s:v>61.0682142857142</s:v>
      </s:c>
    </s:row>
    <s:row r="24">
      <s:c r="A24" s="6" t="inlineStr">
        <s:is>
          <s:t>99-й перцентиль</s:t>
        </s:is>
      </s:c>
      <s:c r="B24" s="13" t="n">
        <s:v>2793.057000000007</s:v>
      </s:c>
      <s:c r="C24" s="20">
        <s:f>B24/Допущения!$B$17</s:f>
        <s:v>199.50407142857193</s:v>
      </s:c>
    </s:row>
    <s:row r="25">
      <s:c r="A25" s="6" t="inlineStr">
        <s:is>
          <s:t>максимум</s:t>
        </s:is>
      </s:c>
      <s:c r="B25" s="13" t="n">
        <s:v>114072.4</s:v>
      </s:c>
      <s:c r="C25" s="20">
        <s:f>B25/Допущения!$B$17</s:f>
        <s:v>8148.028571428571</s:v>
      </s:c>
    </s:row>
    <s:row r="28">
      <s:c r="A28" s="3" t="inlineStr">
        <s:is>
          <s:t>C. Справочно: АСР-сегменты ВВ — В РАСЧЁТЕ НЕ УЧАСТВУЮТ</s:t>
        </s:is>
      </s:c>
    </s:row>
    <s:row r="29" ht="28" customHeight="1">
      <s:c r="A29" s="9" t="inlineStr">
        <s:is>
          <s:t>Оставлено как доказательство одного факта: начисление эко-бонусов на юзера почти не зависит от покупательной силы. У Амбассадора оно НИЖЕ, чем у Репертуарного. Поэтому индекс базового бонуса по тирам взят 1,00.</s:t>
        </s:is>
      </s:c>
    </s:row>
    <s:row r="30" ht="30" customHeight="1">
      <s:c r="A30" s="5" t="inlineStr">
        <s:is>
          <s:t>Сегмент АСР</s:t>
        </s:is>
      </s:c>
      <s:c r="B30" s="5" t="inlineStr">
        <s:is>
          <s:t>Карт</s:t>
        </s:is>
      </s:c>
      <s:c r="C30" s="5" t="inlineStr">
        <s:is>
          <s:t>Начислено за окно, ₽</s:t>
        </s:is>
      </s:c>
      <s:c r="D30" s="5" t="inlineStr">
        <s:is>
          <s:t>₽/юзер/мес</s:t>
        </s:is>
      </s:c>
      <s:c r="E30" s="5" t="inlineStr">
        <s:is>
          <s:t>Индекс к среднему</s:t>
        </s:is>
      </s:c>
    </s:row>
    <s:row r="31">
      <s:c r="A31" s="6" t="inlineStr">
        <s:is>
          <s:t>Средний</s:t>
        </s:is>
      </s:c>
      <s:c r="B31" s="22" t="n">
        <s:v>84909</s:v>
      </s:c>
      <s:c r="C31" s="23" t="n">
        <s:v>21517830.2</s:v>
      </s:c>
      <s:c r="D31" s="20">
        <s:f>C31/B31/Допущения!$B$17</s:f>
        <s:v>18.10158960096776</s:v>
      </s:c>
      <s:c r="E31" s="26">
        <s:f>IFERROR(D31/$D$35,0)</s:f>
        <s:v>1.1278570812406619</s:v>
      </s:c>
    </s:row>
    <s:row r="32">
      <s:c r="A32" s="6" t="inlineStr">
        <s:is>
          <s:t>Репертуарный</s:t>
        </s:is>
      </s:c>
      <s:c r="B32" s="22" t="n">
        <s:v>70459</s:v>
      </s:c>
      <s:c r="C32" s="23" t="n">
        <s:v>19204675.1</s:v>
      </s:c>
      <s:c r="D32" s="20">
        <s:f>C32/B32/Допущения!$B$17</s:f>
        <s:v>19.46894658088899</s:v>
      </s:c>
      <s:c r="E32" s="26">
        <s:f>IFERROR(D32/$D$35,0)</s:f>
        <s:v>1.2130530936563646</s:v>
      </s:c>
    </s:row>
    <s:row r="33">
      <s:c r="A33" s="6" t="inlineStr">
        <s:is>
          <s:t>Амбассадор</s:t>
        </s:is>
      </s:c>
      <s:c r="B33" s="22" t="n">
        <s:v>51329</s:v>
      </s:c>
      <s:c r="C33" s="23" t="n">
        <s:v>8765901.049899999</s:v>
      </s:c>
      <s:c r="D33" s="20">
        <s:f>C33/B33/Допущения!$B$17</s:f>
        <s:v>12.198480182325223</s:v>
      </s:c>
      <s:c r="E33" s="26">
        <s:f>IFERROR(D33/$D$35,0)</s:f>
        <s:v>0.7600516063668704</s:v>
      </s:c>
    </s:row>
    <s:row r="34">
      <s:c r="A34" s="6" t="inlineStr">
        <s:is>
          <s:t>(нет сегмента)</s:t>
        </s:is>
      </s:c>
      <s:c r="B34" s="22" t="n">
        <s:v>42253</s:v>
      </s:c>
      <s:c r="C34" s="23" t="n">
        <s:v>6449062.4</s:v>
      </s:c>
      <s:c r="D34" s="20">
        <s:f>C34/B34/Допущения!$B$17</s:f>
        <s:v>10.90212089758631</s:v>
      </s:c>
      <s:c r="E34" s="26">
        <s:f>IFERROR(D34/$D$35,0)</s:f>
        <s:v>0.679279252592664</s:v>
      </s:c>
    </s:row>
    <s:row r="35">
      <s:c r="A35" s="27" t="inlineStr">
        <s:is>
          <s:t>ИТОГО</s:t>
        </s:is>
      </s:c>
      <s:c r="B35" s="28">
        <s:f>SUM(B31:B34)</s:f>
        <s:v>248950.0</s:v>
      </s:c>
      <s:c r="C35" s="29">
        <s:f>SUM(C31:C34)</s:f>
        <s:v>55937468.74989999</s:v>
      </s:c>
      <s:c r="D35" s="30">
        <s:f>C35/B35/Допущения!$B$17</s:f>
        <s:v>16.0495420049637</s:v>
      </s:c>
      <s:c r="E35" s="31">
        <s:f>IFERROR(D35/$D$35,0)</s:f>
        <s:v>1.0</s:v>
      </s:c>
    </s:row>
  </s:sheetData>
  <s:pageMargins left="0.75" right="0.75" top="1" bottom="1" header="0.5" footer="0.5"/>
</s:worksheet>
</file>

<file path=xl/worksheets/sheet4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/>
  </s:sheetPr>
  <s:dimension ref="A1:L20"/>
  <s:sheetViews>
    <s:sheetView workbookViewId="0">
      <s:selection activeCell="A1" sqref="A1"/>
    </s:sheetView>
  </s:sheetViews>
  <s:sheetFormatPr baseColWidth="8" defaultRowHeight="15"/>
  <s:cols>
    <s:col width="10" customWidth="1" min="1" max="1"/>
    <s:col width="16" customWidth="1" min="2" max="2"/>
    <s:col width="13" customWidth="1" min="3" max="3"/>
    <s:col width="13" customWidth="1" min="4" max="4"/>
    <s:col width="13" customWidth="1" min="5" max="5"/>
    <s:col width="13" customWidth="1" min="6" max="6"/>
    <s:col width="15" customWidth="1" min="7" max="7"/>
    <s:col width="15" customWidth="1" min="8" max="8"/>
    <s:col width="15" customWidth="1" min="9" max="9"/>
    <s:col width="15" customWidth="1" min="10" max="10"/>
    <s:col width="15" customWidth="1" min="11" max="11"/>
    <s:col width="20" customWidth="1" min="12" max="12"/>
  </s:cols>
  <s:sheetData>
    <s:row r="1">
      <s:c r="A1" s="1" t="inlineStr">
        <s:is>
          <s:t>Вход: валовая выручка по тирам и месяцам 2026 года</s:t>
        </s:is>
      </s:c>
    </s:row>
    <s:row r="2">
      <s:c r="A2" s="2" t="inlineStr">
        <s:is>
          <s:t>ПЛЕЙСХОЛДЕР — заменить фактической выгрузкой ВВ по пользователям</s:t>
        </s:is>
      </s:c>
    </s:row>
    <s:row r="3" ht="44" customHeight="1">
      <s:c r="A3" s="32" t="inlineStr">
        <s:is>
          <s:t>ВНИМАНИЕ: числа ниже — НЕ ФАКТ. Выгрузка фактической ВВ по пользователям с начала 2026 года запрошена у аналитиков и ещё не получена. Плейсхолдер засеян логнормальным распределением (средняя ВВ 2 614 ₽/мес из агрегатов АСР  log-СКО 1.2) только чтобы модель считалась и её можно было проверить. Пересборка при получении файла: scripts/build_model.py --revenue &lt;файл.xlsx&gt;</s:t>
        </s:is>
      </s:c>
    </s:row>
    <s:row r="5" ht="30" customHeight="1">
      <s:c r="A5" s="5" t="inlineStr">
        <s:is>
          <s:t>Месяц</s:t>
        </s:is>
      </s:c>
      <s:c r="B5" s="5" t="inlineStr">
        <s:is>
          <s:t>Статус</s:t>
        </s:is>
      </s:c>
      <s:c r="C5" s="5" t="inlineStr">
        <s:is>
          <s:t>Юзеров: 🌱 Старт</s:t>
        </s:is>
      </s:c>
      <s:c r="D5" s="5" t="inlineStr">
        <s:is>
          <s:t>Юзеров: 🌿 Росток</s:t>
        </s:is>
      </s:c>
      <s:c r="E5" s="5" t="inlineStr">
        <s:is>
          <s:t>Юзеров: 🌳 Дерево</s:t>
        </s:is>
      </s:c>
      <s:c r="F5" s="5" t="inlineStr">
        <s:is>
          <s:t>Юзеров: 🌲 Лес</s:t>
        </s:is>
      </s:c>
      <s:c r="G5" s="5" t="inlineStr">
        <s:is>
          <s:t>ВВ/юзер/мес: 🌱 Старт</s:t>
        </s:is>
      </s:c>
      <s:c r="H5" s="5" t="inlineStr">
        <s:is>
          <s:t>ВВ/юзер/мес: 🌿 Росток</s:t>
        </s:is>
      </s:c>
      <s:c r="I5" s="5" t="inlineStr">
        <s:is>
          <s:t>ВВ/юзер/мес: 🌳 Дерево</s:t>
        </s:is>
      </s:c>
      <s:c r="J5" s="5" t="inlineStr">
        <s:is>
          <s:t>ВВ/юзер/мес: 🌲 Лес</s:t>
        </s:is>
      </s:c>
      <s:c r="K5" s="5" t="inlineStr">
        <s:is>
          <s:t>Всего юзеров</s:t>
        </s:is>
      </s:c>
      <s:c r="L5" s="5" t="inlineStr">
        <s:is>
          <s:t>ВВ когорты, ₽/мес</s:t>
        </s:is>
      </s:c>
    </s:row>
    <s:row r="6">
      <s:c r="A6" s="33" t="inlineStr">
        <s:is>
          <s:t>2026-01</s:t>
        </s:is>
      </s:c>
      <s:c r="B6" s="34" t="str">
        <s:f>IF(1&lt;=Допущения!$B$20,"в окне выгрузки","прогноз")</s:f>
        <s:v>в окне выгрузки</s:v>
      </s:c>
      <s:c r="C6" s="35" t="n">
        <s:v>189856</s:v>
      </s:c>
      <s:c r="D6" s="35" t="n">
        <s:v>51441</s:v>
      </s:c>
      <s:c r="E6" s="35" t="n">
        <s:v>6938</s:v>
      </s:c>
      <s:c r="F6" s="35" t="n">
        <s:v>715</s:v>
      </s:c>
      <s:c r="G6" s="7" t="n">
        <s:v>1075</s:v>
      </s:c>
      <s:c r="H6" s="7" t="n">
        <s:v>5501</s:v>
      </s:c>
      <s:c r="I6" s="7" t="n">
        <s:v>18036</s:v>
      </s:c>
      <s:c r="J6" s="7" t="n">
        <s:v>53826</s:v>
      </s:c>
      <s:c r="K6" s="36">
        <s:f>SUM(C6:F6)</s:f>
        <s:v>248950.0</s:v>
      </s:c>
      <s:c r="L6" s="25">
        <s:f>SUMPRODUCT(C6:F6,G6:J6)</s:f>
        <s:v>650691499.0</s:v>
      </s:c>
    </s:row>
    <s:row r="7">
      <s:c r="A7" s="33" t="inlineStr">
        <s:is>
          <s:t>2026-02</s:t>
        </s:is>
      </s:c>
      <s:c r="B7" s="34" t="str">
        <s:f>IF(2&lt;=Допущения!$B$20,"в окне выгрузки","прогноз")</s:f>
        <s:v>в окне выгрузки</s:v>
      </s:c>
      <s:c r="C7" s="35" t="n">
        <s:v>189856</s:v>
      </s:c>
      <s:c r="D7" s="35" t="n">
        <s:v>51441</s:v>
      </s:c>
      <s:c r="E7" s="35" t="n">
        <s:v>6938</s:v>
      </s:c>
      <s:c r="F7" s="35" t="n">
        <s:v>715</s:v>
      </s:c>
      <s:c r="G7" s="7" t="n">
        <s:v>1075</s:v>
      </s:c>
      <s:c r="H7" s="7" t="n">
        <s:v>5501</s:v>
      </s:c>
      <s:c r="I7" s="7" t="n">
        <s:v>18036</s:v>
      </s:c>
      <s:c r="J7" s="7" t="n">
        <s:v>53826</s:v>
      </s:c>
      <s:c r="K7" s="36">
        <s:f>SUM(C7:F7)</s:f>
        <s:v>248950.0</s:v>
      </s:c>
      <s:c r="L7" s="25">
        <s:f>SUMPRODUCT(C7:F7,G7:J7)</s:f>
        <s:v>650691499.0</s:v>
      </s:c>
    </s:row>
    <s:row r="8">
      <s:c r="A8" s="33" t="inlineStr">
        <s:is>
          <s:t>2026-03</s:t>
        </s:is>
      </s:c>
      <s:c r="B8" s="34" t="str">
        <s:f>IF(3&lt;=Допущения!$B$20,"в окне выгрузки","прогноз")</s:f>
        <s:v>в окне выгрузки</s:v>
      </s:c>
      <s:c r="C8" s="35" t="n">
        <s:v>189856</s:v>
      </s:c>
      <s:c r="D8" s="35" t="n">
        <s:v>51441</s:v>
      </s:c>
      <s:c r="E8" s="35" t="n">
        <s:v>6938</s:v>
      </s:c>
      <s:c r="F8" s="35" t="n">
        <s:v>715</s:v>
      </s:c>
      <s:c r="G8" s="7" t="n">
        <s:v>1075</s:v>
      </s:c>
      <s:c r="H8" s="7" t="n">
        <s:v>5501</s:v>
      </s:c>
      <s:c r="I8" s="7" t="n">
        <s:v>18036</s:v>
      </s:c>
      <s:c r="J8" s="7" t="n">
        <s:v>53826</s:v>
      </s:c>
      <s:c r="K8" s="36">
        <s:f>SUM(C8:F8)</s:f>
        <s:v>248950.0</s:v>
      </s:c>
      <s:c r="L8" s="25">
        <s:f>SUMPRODUCT(C8:F8,G8:J8)</s:f>
        <s:v>650691499.0</s:v>
      </s:c>
    </s:row>
    <s:row r="9">
      <s:c r="A9" s="33" t="inlineStr">
        <s:is>
          <s:t>2026-04</s:t>
        </s:is>
      </s:c>
      <s:c r="B9" s="34" t="str">
        <s:f>IF(4&lt;=Допущения!$B$20,"в окне выгрузки","прогноз")</s:f>
        <s:v>в окне выгрузки</s:v>
      </s:c>
      <s:c r="C9" s="35" t="n">
        <s:v>189856</s:v>
      </s:c>
      <s:c r="D9" s="35" t="n">
        <s:v>51441</s:v>
      </s:c>
      <s:c r="E9" s="35" t="n">
        <s:v>6938</s:v>
      </s:c>
      <s:c r="F9" s="35" t="n">
        <s:v>715</s:v>
      </s:c>
      <s:c r="G9" s="7" t="n">
        <s:v>1075</s:v>
      </s:c>
      <s:c r="H9" s="7" t="n">
        <s:v>5501</s:v>
      </s:c>
      <s:c r="I9" s="7" t="n">
        <s:v>18036</s:v>
      </s:c>
      <s:c r="J9" s="7" t="n">
        <s:v>53826</s:v>
      </s:c>
      <s:c r="K9" s="36">
        <s:f>SUM(C9:F9)</s:f>
        <s:v>248950.0</s:v>
      </s:c>
      <s:c r="L9" s="25">
        <s:f>SUMPRODUCT(C9:F9,G9:J9)</s:f>
        <s:v>650691499.0</s:v>
      </s:c>
    </s:row>
    <s:row r="10">
      <s:c r="A10" s="33" t="inlineStr">
        <s:is>
          <s:t>2026-05</s:t>
        </s:is>
      </s:c>
      <s:c r="B10" s="34" t="str">
        <s:f>IF(5&lt;=Допущения!$B$20,"в окне выгрузки","прогноз")</s:f>
        <s:v>в окне выгрузки</s:v>
      </s:c>
      <s:c r="C10" s="35" t="n">
        <s:v>189856</s:v>
      </s:c>
      <s:c r="D10" s="35" t="n">
        <s:v>51441</s:v>
      </s:c>
      <s:c r="E10" s="35" t="n">
        <s:v>6938</s:v>
      </s:c>
      <s:c r="F10" s="35" t="n">
        <s:v>715</s:v>
      </s:c>
      <s:c r="G10" s="7" t="n">
        <s:v>1075</s:v>
      </s:c>
      <s:c r="H10" s="7" t="n">
        <s:v>5501</s:v>
      </s:c>
      <s:c r="I10" s="7" t="n">
        <s:v>18036</s:v>
      </s:c>
      <s:c r="J10" s="7" t="n">
        <s:v>53826</s:v>
      </s:c>
      <s:c r="K10" s="36">
        <s:f>SUM(C10:F10)</s:f>
        <s:v>248950.0</s:v>
      </s:c>
      <s:c r="L10" s="25">
        <s:f>SUMPRODUCT(C10:F10,G10:J10)</s:f>
        <s:v>650691499.0</s:v>
      </s:c>
    </s:row>
    <s:row r="11">
      <s:c r="A11" s="33" t="inlineStr">
        <s:is>
          <s:t>2026-06</s:t>
        </s:is>
      </s:c>
      <s:c r="B11" s="34" t="str">
        <s:f>IF(6&lt;=Допущения!$B$20,"в окне выгрузки","прогноз")</s:f>
        <s:v>в окне выгрузки</s:v>
      </s:c>
      <s:c r="C11" s="35" t="n">
        <s:v>189856</s:v>
      </s:c>
      <s:c r="D11" s="35" t="n">
        <s:v>51441</s:v>
      </s:c>
      <s:c r="E11" s="35" t="n">
        <s:v>6938</s:v>
      </s:c>
      <s:c r="F11" s="35" t="n">
        <s:v>715</s:v>
      </s:c>
      <s:c r="G11" s="7" t="n">
        <s:v>1075</s:v>
      </s:c>
      <s:c r="H11" s="7" t="n">
        <s:v>5501</s:v>
      </s:c>
      <s:c r="I11" s="7" t="n">
        <s:v>18036</s:v>
      </s:c>
      <s:c r="J11" s="7" t="n">
        <s:v>53826</s:v>
      </s:c>
      <s:c r="K11" s="36">
        <s:f>SUM(C11:F11)</s:f>
        <s:v>248950.0</s:v>
      </s:c>
      <s:c r="L11" s="25">
        <s:f>SUMPRODUCT(C11:F11,G11:J11)</s:f>
        <s:v>650691499.0</s:v>
      </s:c>
    </s:row>
    <s:row r="12">
      <s:c r="A12" s="33" t="inlineStr">
        <s:is>
          <s:t>2026-07</s:t>
        </s:is>
      </s:c>
      <s:c r="B12" s="34" t="str">
        <s:f>IF(7&lt;=Допущения!$B$20,"в окне выгрузки","прогноз")</s:f>
        <s:v>в окне выгрузки</s:v>
      </s:c>
      <s:c r="C12" s="35" t="n">
        <s:v>189856</s:v>
      </s:c>
      <s:c r="D12" s="35" t="n">
        <s:v>51441</s:v>
      </s:c>
      <s:c r="E12" s="35" t="n">
        <s:v>6938</s:v>
      </s:c>
      <s:c r="F12" s="35" t="n">
        <s:v>715</s:v>
      </s:c>
      <s:c r="G12" s="7" t="n">
        <s:v>1075</s:v>
      </s:c>
      <s:c r="H12" s="7" t="n">
        <s:v>5501</s:v>
      </s:c>
      <s:c r="I12" s="7" t="n">
        <s:v>18036</s:v>
      </s:c>
      <s:c r="J12" s="7" t="n">
        <s:v>53826</s:v>
      </s:c>
      <s:c r="K12" s="36">
        <s:f>SUM(C12:F12)</s:f>
        <s:v>248950.0</s:v>
      </s:c>
      <s:c r="L12" s="25">
        <s:f>SUMPRODUCT(C12:F12,G12:J12)</s:f>
        <s:v>650691499.0</s:v>
      </s:c>
    </s:row>
    <s:row r="13">
      <s:c r="A13" s="33" t="inlineStr">
        <s:is>
          <s:t>2026-08</s:t>
        </s:is>
      </s:c>
      <s:c r="B13" s="34" t="str">
        <s:f>IF(8&lt;=Допущения!$B$20,"в окне выгрузки","прогноз")</s:f>
        <s:v>прогноз</s:v>
      </s:c>
      <s:c r="C13" s="35" t="n">
        <s:v>189856</s:v>
      </s:c>
      <s:c r="D13" s="35" t="n">
        <s:v>51441</s:v>
      </s:c>
      <s:c r="E13" s="35" t="n">
        <s:v>6938</s:v>
      </s:c>
      <s:c r="F13" s="35" t="n">
        <s:v>715</s:v>
      </s:c>
      <s:c r="G13" s="7" t="n">
        <s:v>1075</s:v>
      </s:c>
      <s:c r="H13" s="7" t="n">
        <s:v>5501</s:v>
      </s:c>
      <s:c r="I13" s="7" t="n">
        <s:v>18036</s:v>
      </s:c>
      <s:c r="J13" s="7" t="n">
        <s:v>53826</s:v>
      </s:c>
      <s:c r="K13" s="36">
        <s:f>SUM(C13:F13)</s:f>
        <s:v>248950.0</s:v>
      </s:c>
      <s:c r="L13" s="25">
        <s:f>SUMPRODUCT(C13:F13,G13:J13)</s:f>
        <s:v>650691499.0</s:v>
      </s:c>
    </s:row>
    <s:row r="14">
      <s:c r="A14" s="33" t="inlineStr">
        <s:is>
          <s:t>2026-09</s:t>
        </s:is>
      </s:c>
      <s:c r="B14" s="34" t="str">
        <s:f>IF(9&lt;=Допущения!$B$20,"в окне выгрузки","прогноз")</s:f>
        <s:v>прогноз</s:v>
      </s:c>
      <s:c r="C14" s="35" t="n">
        <s:v>189856</s:v>
      </s:c>
      <s:c r="D14" s="35" t="n">
        <s:v>51441</s:v>
      </s:c>
      <s:c r="E14" s="35" t="n">
        <s:v>6938</s:v>
      </s:c>
      <s:c r="F14" s="35" t="n">
        <s:v>715</s:v>
      </s:c>
      <s:c r="G14" s="7" t="n">
        <s:v>1075</s:v>
      </s:c>
      <s:c r="H14" s="7" t="n">
        <s:v>5501</s:v>
      </s:c>
      <s:c r="I14" s="7" t="n">
        <s:v>18036</s:v>
      </s:c>
      <s:c r="J14" s="7" t="n">
        <s:v>53826</s:v>
      </s:c>
      <s:c r="K14" s="36">
        <s:f>SUM(C14:F14)</s:f>
        <s:v>248950.0</s:v>
      </s:c>
      <s:c r="L14" s="25">
        <s:f>SUMPRODUCT(C14:F14,G14:J14)</s:f>
        <s:v>650691499.0</s:v>
      </s:c>
    </s:row>
    <s:row r="15">
      <s:c r="A15" s="33" t="inlineStr">
        <s:is>
          <s:t>2026-10</s:t>
        </s:is>
      </s:c>
      <s:c r="B15" s="34" t="str">
        <s:f>IF(10&lt;=Допущения!$B$20,"в окне выгрузки","прогноз")</s:f>
        <s:v>прогноз</s:v>
      </s:c>
      <s:c r="C15" s="35" t="n">
        <s:v>189856</s:v>
      </s:c>
      <s:c r="D15" s="35" t="n">
        <s:v>51441</s:v>
      </s:c>
      <s:c r="E15" s="35" t="n">
        <s:v>6938</s:v>
      </s:c>
      <s:c r="F15" s="35" t="n">
        <s:v>715</s:v>
      </s:c>
      <s:c r="G15" s="7" t="n">
        <s:v>1075</s:v>
      </s:c>
      <s:c r="H15" s="7" t="n">
        <s:v>5501</s:v>
      </s:c>
      <s:c r="I15" s="7" t="n">
        <s:v>18036</s:v>
      </s:c>
      <s:c r="J15" s="7" t="n">
        <s:v>53826</s:v>
      </s:c>
      <s:c r="K15" s="36">
        <s:f>SUM(C15:F15)</s:f>
        <s:v>248950.0</s:v>
      </s:c>
      <s:c r="L15" s="25">
        <s:f>SUMPRODUCT(C15:F15,G15:J15)</s:f>
        <s:v>650691499.0</s:v>
      </s:c>
    </s:row>
    <s:row r="16">
      <s:c r="A16" s="33" t="inlineStr">
        <s:is>
          <s:t>2026-11</s:t>
        </s:is>
      </s:c>
      <s:c r="B16" s="34" t="str">
        <s:f>IF(11&lt;=Допущения!$B$20,"в окне выгрузки","прогноз")</s:f>
        <s:v>прогноз</s:v>
      </s:c>
      <s:c r="C16" s="35" t="n">
        <s:v>189856</s:v>
      </s:c>
      <s:c r="D16" s="35" t="n">
        <s:v>51441</s:v>
      </s:c>
      <s:c r="E16" s="35" t="n">
        <s:v>6938</s:v>
      </s:c>
      <s:c r="F16" s="35" t="n">
        <s:v>715</s:v>
      </s:c>
      <s:c r="G16" s="7" t="n">
        <s:v>1075</s:v>
      </s:c>
      <s:c r="H16" s="7" t="n">
        <s:v>5501</s:v>
      </s:c>
      <s:c r="I16" s="7" t="n">
        <s:v>18036</s:v>
      </s:c>
      <s:c r="J16" s="7" t="n">
        <s:v>53826</s:v>
      </s:c>
      <s:c r="K16" s="36">
        <s:f>SUM(C16:F16)</s:f>
        <s:v>248950.0</s:v>
      </s:c>
      <s:c r="L16" s="25">
        <s:f>SUMPRODUCT(C16:F16,G16:J16)</s:f>
        <s:v>650691499.0</s:v>
      </s:c>
    </s:row>
    <s:row r="17">
      <s:c r="A17" s="33" t="inlineStr">
        <s:is>
          <s:t>2026-12</s:t>
        </s:is>
      </s:c>
      <s:c r="B17" s="34" t="str">
        <s:f>IF(12&lt;=Допущения!$B$20,"в окне выгрузки","прогноз")</s:f>
        <s:v>прогноз</s:v>
      </s:c>
      <s:c r="C17" s="35" t="n">
        <s:v>189856</s:v>
      </s:c>
      <s:c r="D17" s="35" t="n">
        <s:v>51441</s:v>
      </s:c>
      <s:c r="E17" s="35" t="n">
        <s:v>6938</s:v>
      </s:c>
      <s:c r="F17" s="35" t="n">
        <s:v>715</s:v>
      </s:c>
      <s:c r="G17" s="7" t="n">
        <s:v>1075</s:v>
      </s:c>
      <s:c r="H17" s="7" t="n">
        <s:v>5501</s:v>
      </s:c>
      <s:c r="I17" s="7" t="n">
        <s:v>18036</s:v>
      </s:c>
      <s:c r="J17" s="7" t="n">
        <s:v>53826</s:v>
      </s:c>
      <s:c r="K17" s="36">
        <s:f>SUM(C17:F17)</s:f>
        <s:v>248950.0</s:v>
      </s:c>
      <s:c r="L17" s="25">
        <s:f>SUMPRODUCT(C17:F17,G17:J17)</s:f>
        <s:v>650691499.0</s:v>
      </s:c>
    </s:row>
    <s:row r="18">
      <s:c r="A18" s="27" t="inlineStr">
        <s:is>
          <s:t>ИТОГО</s:t>
        </s:is>
      </s:c>
      <s:c r="B18" s="37" t="inlineStr">
        <s:is>
          <s:t>за 2026 год</s:t>
        </s:is>
      </s:c>
      <s:c r="C18" s="28">
        <s:f>AVERAGE(C6:C17)</s:f>
        <s:v>189856.0</s:v>
      </s:c>
      <s:c r="D18" s="28">
        <s:f>AVERAGE(D6:D17)</s:f>
        <s:v>51441.0</s:v>
      </s:c>
      <s:c r="E18" s="28">
        <s:f>AVERAGE(E6:E17)</s:f>
        <s:v>6938.0</s:v>
      </s:c>
      <s:c r="F18" s="28">
        <s:f>AVERAGE(F6:F17)</s:f>
        <s:v>715.0</s:v>
      </s:c>
      <s:c r="G18" s="29">
        <s:f>IFERROR(SUMPRODUCT(C6:C17,G6:G17)/SUM(C6:C17),0)</s:f>
        <s:v>1075.0</s:v>
      </s:c>
      <s:c r="H18" s="29">
        <s:f>IFERROR(SUMPRODUCT(D6:D17,H6:H17)/SUM(D6:D17),0)</s:f>
        <s:v>5501.0</s:v>
      </s:c>
      <s:c r="I18" s="29">
        <s:f>IFERROR(SUMPRODUCT(E6:E17,I6:I17)/SUM(E6:E17),0)</s:f>
        <s:v>18036.0</s:v>
      </s:c>
      <s:c r="J18" s="29">
        <s:f>IFERROR(SUMPRODUCT(F6:F17,J6:J17)/SUM(F6:F17),0)</s:f>
        <s:v>53826.0</s:v>
      </s:c>
      <s:c r="K18" s="28">
        <s:f>AVERAGE(K6:K17)</s:f>
        <s:v>248950.0</s:v>
      </s:c>
      <s:c r="L18" s="29">
        <s:f>SUM(L6:L17)</s:f>
        <s:v>7808297988.0</s:v>
      </s:c>
    </s:row>
    <s:row r="20">
      <s:c r="A20" s="9" t="inlineStr">
        <s:is>
          <s:t>Легенда: жёлтые ячейки C6:J17 — единственное, что нужно править вручную (или пересобрать скриптом). Всё остальное в книге — формулы от них.</s:t>
        </s:is>
      </s:c>
    </s:row>
  </s:sheetData>
  <s:pageMargins left="0.75" right="0.75" top="1" bottom="1" header="0.5" footer="0.5"/>
  <s:legacyDrawing r:id="anysvml"/>
</s:worksheet>
</file>

<file path=xl/worksheets/sheet5.xml><?xml version="1.0" encoding="utf-8"?>
<s:worksheet xmlns:s="http://schemas.openxmlformats.org/spreadsheetml/2006/main">
  <s:sheetPr>
    <s:outlinePr summaryBelow="1" summaryRight="1"/>
    <s:pageSetUpPr/>
  </s:sheetPr>
  <s:dimension ref="A1:G18"/>
  <s:sheetViews>
    <s:sheetView workbookViewId="0">
      <s:selection activeCell="A1" sqref="A1"/>
    </s:sheetView>
  </s:sheetViews>
  <s:sheetFormatPr baseColWidth="8" defaultRowHeight="15"/>
  <s:cols>
    <s:col width="42" customWidth="1" min="1" max="1"/>
    <s:col width="14" customWidth="1" min="2" max="2"/>
    <s:col width="15" customWidth="1" min="3" max="3"/>
    <s:col width="15" customWidth="1" min="4" max="4"/>
    <s:col width="15" customWidth="1" min="5" max="5"/>
    <s:col width="15" customWidth="1" min="6" max="6"/>
    <s:col width="20" customWidth="1" min="7" max="7"/>
  </s:cols>
  <s:sheetData>
    <s:row r="1">
      <s:c r="A1" s="1" t="inlineStr">
        <s:is>
          <s:t>Unit-экономика: один пользователь за один месяц</s:t>
        </s:is>
      </s:c>
    </s:row>
    <s:row r="2">
      <s:c r="A2" s="2" t="inlineStr">
        <s:is>
          <s:t>Базовая единица модели. Тиры и периоды на листе «Тир_Период» — это юнит × число юзеров.</s:t>
        </s:is>
      </s:c>
    </s:row>
    <s:row r="4" ht="30" customHeight="1">
      <s:c r="A4" s="5" t="inlineStr">
        <s:is>
          <s:t>Показатель</s:t>
        </s:is>
      </s:c>
      <s:c r="B4" s="5" t="inlineStr">
        <s:is>
          <s:t>Ед.</s:t>
        </s:is>
      </s:c>
      <s:c r="C4" s="5" t="inlineStr">
        <s:is>
          <s:t>🌱 Старт</s:t>
        </s:is>
      </s:c>
      <s:c r="D4" s="5" t="inlineStr">
        <s:is>
          <s:t>🌿 Росток</s:t>
        </s:is>
      </s:c>
      <s:c r="E4" s="5" t="inlineStr">
        <s:is>
          <s:t>🌳 Дерево</s:t>
        </s:is>
      </s:c>
      <s:c r="F4" s="5" t="inlineStr">
        <s:is>
          <s:t>🌲 Лес</s:t>
        </s:is>
      </s:c>
      <s:c r="G4" s="5" t="inlineStr">
        <s:is>
          <s:t>Средневзв. по когорте</s:t>
        </s:is>
      </s:c>
    </s:row>
    <s:row r="5">
      <s:c r="A5" s="6" t="inlineStr">
        <s:is>
          <s:t>Множитель бонуса тира</s:t>
        </s:is>
      </s:c>
      <s:c r="B5" s="38" t="inlineStr">
        <s:is>
          <s:t>×</s:t>
        </s:is>
      </s:c>
      <s:c r="C5" s="39">
        <s:f>Допущения!$D$6</s:f>
        <s:v>1</s:v>
      </s:c>
      <s:c r="D5" s="39">
        <s:f>Допущения!$D$7</s:f>
        <s:v>1.4</s:v>
      </s:c>
      <s:c r="E5" s="39">
        <s:f>Допущения!$D$8</s:f>
        <s:v>2.15</s:v>
      </s:c>
      <s:c r="F5" s="39">
        <s:f>Допущения!$D$9</s:f>
        <s:v>2.85</s:v>
      </s:c>
      <s:c r="G5" s="40">
        <s:f>IFERROR(SUMPRODUCT(C6:F6,C5:F5)/G6,0)</s:f>
        <s:v>1.1200154649528016</s:v>
      </s:c>
    </s:row>
    <s:row r="6">
      <s:c r="A6" s="6" t="inlineStr">
        <s:is>
          <s:t>Юзеров в тире (среднее за месяц 2026)</s:t>
        </s:is>
      </s:c>
      <s:c r="B6" s="38" t="inlineStr">
        <s:is>
          <s:t>чел</s:t>
        </s:is>
      </s:c>
      <s:c r="C6" s="41">
        <s:f>Выручка_вход!C$18</s:f>
        <s:v>189856.0</s:v>
      </s:c>
      <s:c r="D6" s="41">
        <s:f>Выручка_вход!D$18</s:f>
        <s:v>51441.0</s:v>
      </s:c>
      <s:c r="E6" s="41">
        <s:f>Выручка_вход!E$18</s:f>
        <s:v>6938.0</s:v>
      </s:c>
      <s:c r="F6" s="41">
        <s:f>Выручка_вход!F$18</s:f>
        <s:v>715.0</s:v>
      </s:c>
      <s:c r="G6" s="28">
        <s:f>SUM(C6:F6)</s:f>
        <s:v>248950.0</s:v>
      </s:c>
    </s:row>
    <s:row r="7">
      <s:c r="A7" s="6" t="inlineStr">
        <s:is>
          <s:t>ДОХОД: валовая выручка</s:t>
        </s:is>
      </s:c>
      <s:c r="B7" s="38" t="inlineStr">
        <s:is>
          <s:t>₽/юзер/мес</s:t>
        </s:is>
      </s:c>
      <s:c r="C7" s="42">
        <s:f>Выручка_вход!G$18</s:f>
        <s:v>1075.0</s:v>
      </s:c>
      <s:c r="D7" s="42">
        <s:f>Выручка_вход!H$18</s:f>
        <s:v>5501.0</s:v>
      </s:c>
      <s:c r="E7" s="42">
        <s:f>Выручка_вход!I$18</s:f>
        <s:v>18036.0</s:v>
      </s:c>
      <s:c r="F7" s="42">
        <s:f>Выручка_вход!J$18</s:f>
        <s:v>53826.0</s:v>
      </s:c>
      <s:c r="G7" s="29">
        <s:f>IFERROR(SUMPRODUCT(C7:F7,C6:F6)/G6,0)</s:f>
        <s:v>2613.743719622414</s:v>
      </s:c>
    </s:row>
    <s:row r="8">
      <s:c r="A8" s="6" t="inlineStr">
        <s:is>
          <s:t>ДОХОД: грязная маржа</s:t>
        </s:is>
      </s:c>
      <s:c r="B8" s="38" t="inlineStr">
        <s:is>
          <s:t>₽/юзер/мес</s:t>
        </s:is>
      </s:c>
      <s:c r="C8" s="25">
        <s:f>C7*Допущения!$B$14</s:f>
        <s:v>322.5</s:v>
      </s:c>
      <s:c r="D8" s="25">
        <s:f>D7*Допущения!$B$14</s:f>
        <s:v>1650.3</s:v>
      </s:c>
      <s:c r="E8" s="25">
        <s:f>E7*Допущения!$B$14</s:f>
        <s:v>5410.8</s:v>
      </s:c>
      <s:c r="F8" s="25">
        <s:f>F7*Допущения!$B$14</s:f>
        <s:v>16147.8</s:v>
      </s:c>
      <s:c r="G8" s="29">
        <s:f>IFERROR(SUMPRODUCT(C8:F8,C6:F6)/G6,0)</s:f>
        <s:v>784.1231158867243</s:v>
      </s:c>
    </s:row>
    <s:row r="9">
      <s:c r="A9" s="6" t="inlineStr">
        <s:is>
          <s:t>РАСХОД: эко-бонус базовый (без механики)</s:t>
        </s:is>
      </s:c>
      <s:c r="B9" s="38" t="inlineStr">
        <s:is>
          <s:t>₽/юзер/мес</s:t>
        </s:is>
      </s:c>
      <s:c r="C9" s="43">
        <s:f>Допущения!$C$25</s:f>
        <s:v>16.0495420049637</s:v>
      </s:c>
      <s:c r="D9" s="43">
        <s:f>Допущения!$C$26</s:f>
        <s:v>16.0495420049637</s:v>
      </s:c>
      <s:c r="E9" s="43">
        <s:f>Допущения!$C$27</s:f>
        <s:v>16.0495420049637</s:v>
      </s:c>
      <s:c r="F9" s="43">
        <s:f>Допущения!$C$28</s:f>
        <s:v>16.0495420049637</s:v>
      </s:c>
      <s:c r="G9" s="30">
        <s:f>IFERROR(SUMPRODUCT(C9:F9,C6:F6)/G6,0)</s:f>
        <s:v>16.0495420049637</s:v>
      </s:c>
    </s:row>
    <s:row r="10">
      <s:c r="A10" s="6" t="inlineStr">
        <s:is>
          <s:t>РАСХОД: эко-бонус с механикой</s:t>
        </s:is>
      </s:c>
      <s:c r="B10" s="38" t="inlineStr">
        <s:is>
          <s:t>₽/юзер/мес</s:t>
        </s:is>
      </s:c>
      <s:c r="C10" s="20">
        <s:f>C9*C5</s:f>
        <s:v>16.0495420049637</s:v>
      </s:c>
      <s:c r="D10" s="20">
        <s:f>D9*D5</s:f>
        <s:v>22.46935880694918</s:v>
      </s:c>
      <s:c r="E10" s="20">
        <s:f>E9*E5</s:f>
        <s:v>34.50651531067196</s:v>
      </s:c>
      <s:c r="F10" s="20">
        <s:f>F9*F5</s:f>
        <s:v>45.74119471414655</s:v>
      </s:c>
      <s:c r="G10" s="30">
        <s:f>IFERROR(SUMPRODUCT(C10:F10,C6:F6)/G6,0)</s:f>
        <s:v>17.975735250968942</s:v>
      </s:c>
    </s:row>
    <s:row r="11">
      <s:c r="A11" s="6" t="inlineStr">
        <s:is>
          <s:t>РАСХОД: доплата от механики (Δ бонус)</s:t>
        </s:is>
      </s:c>
      <s:c r="B11" s="38" t="inlineStr">
        <s:is>
          <s:t>₽/юзер/мес</s:t>
        </s:is>
      </s:c>
      <s:c r="C11" s="20">
        <s:f>C10-C9</s:f>
        <s:v>0.0</s:v>
      </s:c>
      <s:c r="D11" s="20">
        <s:f>D10-D9</s:f>
        <s:v>6.41981680198548</s:v>
      </s:c>
      <s:c r="E11" s="20">
        <s:f>E10-E9</s:f>
        <s:v>18.456973305708257</s:v>
      </s:c>
      <s:c r="F11" s="20">
        <s:f>F10-F9</s:f>
        <s:v>29.69165270918285</s:v>
      </s:c>
      <s:c r="G11" s="30">
        <s:f>IFERROR(SUMPRODUCT(C11:F11,C6:F6)/G6,0)</s:f>
        <s:v>1.9261932460052407</s:v>
      </s:c>
    </s:row>
    <s:row r="12">
      <s:c r="A12" s="27" t="inlineStr">
        <s:is>
          <s:t>ВКЛАД: грязная маржа − бонус с механикой</s:t>
        </s:is>
      </s:c>
      <s:c r="B12" s="38" t="inlineStr">
        <s:is>
          <s:t>₽/юзер/мес</s:t>
        </s:is>
      </s:c>
      <s:c r="C12" s="29">
        <s:f>C8-C10</s:f>
        <s:v>306.4504579950363</s:v>
      </s:c>
      <s:c r="D12" s="29">
        <s:f>D8-D10</s:f>
        <s:v>1627.8306411930507</s:v>
      </s:c>
      <s:c r="E12" s="29">
        <s:f>E8-E10</s:f>
        <s:v>5376.293484689329</s:v>
      </s:c>
      <s:c r="F12" s="29">
        <s:f>F8-F10</s:f>
        <s:v>16102.058805285853</s:v>
      </s:c>
      <s:c r="G12" s="29">
        <s:f>IFERROR(SUMPRODUCT(C12:F12,C6:F6)/G6,0)</s:f>
        <s:v>766.1473806357552</s:v>
      </s:c>
    </s:row>
    <s:row r="13">
      <s:c r="A13" s="6" t="inlineStr">
        <s:is>
          <s:t>Бонус с механикой, % от грязной маржи</s:t>
        </s:is>
      </s:c>
      <s:c r="B13" s="38" t="inlineStr">
        <s:is>
          <s:t>%</s:t>
        </s:is>
      </s:c>
      <s:c r="C13" s="44">
        <s:f>IFERROR(C10/C8,0)</s:f>
        <s:v>0.04976602172081768</s:v>
      </s:c>
      <s:c r="D13" s="44">
        <s:f>IFERROR(D10/D8,0)</s:f>
        <s:v>0.013615317704023015</s:v>
      </s:c>
      <s:c r="E13" s="44">
        <s:f>IFERROR(E10/E8,0)</s:f>
        <s:v>0.006377340746409396</s:v>
      </s:c>
      <s:c r="F13" s="44">
        <s:f>IFERROR(F10/F8,0)</s:f>
        <s:v>0.002832657991438249</s:v>
      </s:c>
      <s:c r="G13" s="45">
        <s:f>IFERROR(G10/G8,0)</s:f>
        <s:v>0.0229246337555565</s:v>
      </s:c>
    </s:row>
    <s:row r="14">
      <s:c r="A14" s="6" t="inlineStr">
        <s:is>
          <s:t>Доплата, % от грязной маржи</s:t>
        </s:is>
      </s:c>
      <s:c r="B14" s="38" t="inlineStr">
        <s:is>
          <s:t>%</s:t>
        </s:is>
      </s:c>
      <s:c r="C14" s="44">
        <s:f>IFERROR(C11/C8,0)</s:f>
        <s:v>0.0</s:v>
      </s:c>
      <s:c r="D14" s="44">
        <s:f>IFERROR(D11/D8,0)</s:f>
        <s:v>0.003890090772578004</s:v>
      </s:c>
      <s:c r="E14" s="44">
        <s:f>IFERROR(E11/E8,0)</s:f>
        <s:v>0.003411135748079444</s:v>
      </s:c>
      <s:c r="F14" s="44">
        <s:f>IFERROR(F11/F8,0)</s:f>
        <s:v>0.0018387429067230738</s:v>
      </s:c>
      <s:c r="G14" s="45">
        <s:f>IFERROR(G11/G8,0)</s:f>
        <s:v>0.0024564933834746194</s:v>
      </s:c>
    </s:row>
    <s:row r="15">
      <s:c r="A15" s="6" t="inlineStr">
        <s:is>
          <s:t>Доплата, % от валовой выручки</s:t>
        </s:is>
      </s:c>
      <s:c r="B15" s="38" t="inlineStr">
        <s:is>
          <s:t>%</s:t>
        </s:is>
      </s:c>
      <s:c r="C15" s="44">
        <s:f>IFERROR(C11/C7,0)</s:f>
        <s:v>0.0</s:v>
      </s:c>
      <s:c r="D15" s="44">
        <s:f>IFERROR(D11/D7,0)</s:f>
        <s:v>0.0011670272317734012</s:v>
      </s:c>
      <s:c r="E15" s="44">
        <s:f>IFERROR(E11/E7,0)</s:f>
        <s:v>0.0010233407244238332</s:v>
      </s:c>
      <s:c r="F15" s="44">
        <s:f>IFERROR(F11/F7,0)</s:f>
        <s:v>0.0005516228720169221</s:v>
      </s:c>
      <s:c r="G15" s="45">
        <s:f>IFERROR(G11/G7,0)</s:f>
        <s:v>0.0007369480150423859</s:v>
      </s:c>
    </s:row>
    <s:row r="17">
      <s:c r="A17" s="3" t="inlineStr">
        <s:is>
          <s:t>Как читать</s:t>
        </s:is>
      </s:c>
    </s:row>
    <s:row r="18" ht="44" customHeight="1">
      <s:c r="A18" s="4" t="inlineStr">
        <s:is>
          <s:t>Строка «ВКЛАД» — сколько один пользователь тира приносит за месяц после всех бонусных затрат. Строка «Доплата, % от грязной маржи» — цена механики для этого тира: во что обходится повышенный коэффициент, если пользователь НЕ изменил поведение. Именно эта доплата, умноженная на число юзеров, даёт «слепые» затраты на листе «Тир_Период».</s:t>
        </s:is>
      </s:c>
    </s:row>
  </s:sheetData>
  <s:pageMargins left="0.75" right="0.75" top="1" bottom="1" header="0.5" footer="0.5"/>
</s:worksheet>
</file>

<file path=xl/worksheets/sheet6.xml><?xml version="1.0" encoding="utf-8"?>
<s:worksheet xmlns:s="http://schemas.openxmlformats.org/spreadsheetml/2006/main">
  <s:sheetPr>
    <s:outlinePr summaryBelow="1" summaryRight="1"/>
    <s:pageSetUpPr/>
  </s:sheetPr>
  <s:dimension ref="A1:N64"/>
  <s:sheetViews>
    <s:sheetView workbookViewId="0">
      <s:selection activeCell="A1" sqref="A1"/>
    </s:sheetView>
  </s:sheetViews>
  <s:sheetFormatPr baseColWidth="8" defaultRowHeight="15"/>
  <s:cols>
    <s:col width="44" customWidth="1" min="1" max="1"/>
    <s:col width="13" customWidth="1" min="2" max="2"/>
    <s:col width="13" customWidth="1" min="3" max="3"/>
    <s:col width="13" customWidth="1" min="4" max="4"/>
    <s:col width="13" customWidth="1" min="5" max="5"/>
    <s:col width="13" customWidth="1" min="6" max="6"/>
    <s:col width="13" customWidth="1" min="7" max="7"/>
    <s:col width="13" customWidth="1" min="8" max="8"/>
    <s:col width="13" customWidth="1" min="9" max="9"/>
    <s:col width="13" customWidth="1" min="10" max="10"/>
    <s:col width="13" customWidth="1" min="11" max="11"/>
    <s:col width="13" customWidth="1" min="12" max="12"/>
    <s:col width="13" customWidth="1" min="13" max="13"/>
    <s:col width="17" customWidth="1" min="14" max="14"/>
  </s:cols>
  <s:sheetData>
    <s:row r="1">
      <s:c r="A1" s="1" t="inlineStr">
        <s:is>
          <s:t>Разложение по тирам и месяцам 2026 года: доходы и расходы</s:t>
        </s:is>
      </s:c>
    </s:row>
    <s:row r="2">
      <s:c r="A2" s="2" t="inlineStr">
        <s:is>
          <s:t>Один блок на тир, снизу — ИТОГО по когорте. Столбцы — месяцы, N — итог за 2026 год.</s:t>
        </s:is>
      </s:c>
    </s:row>
    <s:row r="4">
      <s:c r="A4" s="3" t="inlineStr">
        <s:is>
          <s:t>Тир 🌱 Старт — ВВ/мес 0–3 000 ₽</s:t>
        </s:is>
      </s:c>
    </s:row>
    <s:row r="5">
      <s:c r="A5" s="21" t="inlineStr">
        <s:is>
          <s:t>Показатель</s:t>
        </s:is>
      </s:c>
      <s:c r="B5" s="21" t="inlineStr">
        <s:is>
          <s:t>2026-01</s:t>
        </s:is>
      </s:c>
      <s:c r="C5" s="21" t="inlineStr">
        <s:is>
          <s:t>2026-02</s:t>
        </s:is>
      </s:c>
      <s:c r="D5" s="21" t="inlineStr">
        <s:is>
          <s:t>2026-03</s:t>
        </s:is>
      </s:c>
      <s:c r="E5" s="21" t="inlineStr">
        <s:is>
          <s:t>2026-04</s:t>
        </s:is>
      </s:c>
      <s:c r="F5" s="21" t="inlineStr">
        <s:is>
          <s:t>2026-05</s:t>
        </s:is>
      </s:c>
      <s:c r="G5" s="21" t="inlineStr">
        <s:is>
          <s:t>2026-06</s:t>
        </s:is>
      </s:c>
      <s:c r="H5" s="21" t="inlineStr">
        <s:is>
          <s:t>2026-07</s:t>
        </s:is>
      </s:c>
      <s:c r="I5" s="21" t="inlineStr">
        <s:is>
          <s:t>2026-08</s:t>
        </s:is>
      </s:c>
      <s:c r="J5" s="21" t="inlineStr">
        <s:is>
          <s:t>2026-09</s:t>
        </s:is>
      </s:c>
      <s:c r="K5" s="21" t="inlineStr">
        <s:is>
          <s:t>2026-10</s:t>
        </s:is>
      </s:c>
      <s:c r="L5" s="21" t="inlineStr">
        <s:is>
          <s:t>2026-11</s:t>
        </s:is>
      </s:c>
      <s:c r="M5" s="21" t="inlineStr">
        <s:is>
          <s:t>2026-12</s:t>
        </s:is>
      </s:c>
      <s:c r="N5" s="21" t="inlineStr">
        <s:is>
          <s:t>2026 итого</s:t>
        </s:is>
      </s:c>
    </s:row>
    <s:row r="6">
      <s:c r="A6" s="6" t="inlineStr">
        <s:is>
          <s:t>Юзеров в тире</s:t>
        </s:is>
      </s:c>
      <s:c r="B6" s="36">
        <s:f>Выручка_вход!C6</s:f>
        <s:v>189856</s:v>
      </s:c>
      <s:c r="C6" s="36">
        <s:f>Выручка_вход!C7</s:f>
        <s:v>189856</s:v>
      </s:c>
      <s:c r="D6" s="36">
        <s:f>Выручка_вход!C8</s:f>
        <s:v>189856</s:v>
      </s:c>
      <s:c r="E6" s="36">
        <s:f>Выручка_вход!C9</s:f>
        <s:v>189856</s:v>
      </s:c>
      <s:c r="F6" s="36">
        <s:f>Выручка_вход!C10</s:f>
        <s:v>189856</s:v>
      </s:c>
      <s:c r="G6" s="36">
        <s:f>Выручка_вход!C11</s:f>
        <s:v>189856</s:v>
      </s:c>
      <s:c r="H6" s="36">
        <s:f>Выручка_вход!C12</s:f>
        <s:v>189856</s:v>
      </s:c>
      <s:c r="I6" s="36">
        <s:f>Выручка_вход!C13</s:f>
        <s:v>189856</s:v>
      </s:c>
      <s:c r="J6" s="36">
        <s:f>Выручка_вход!C14</s:f>
        <s:v>189856</s:v>
      </s:c>
      <s:c r="K6" s="36">
        <s:f>Выручка_вход!C15</s:f>
        <s:v>189856</s:v>
      </s:c>
      <s:c r="L6" s="36">
        <s:f>Выручка_вход!C16</s:f>
        <s:v>189856</s:v>
      </s:c>
      <s:c r="M6" s="36">
        <s:f>Выручка_вход!C17</s:f>
        <s:v>189856</s:v>
      </s:c>
      <s:c r="N6" s="28">
        <s:f>AVERAGE(B6:M6)</s:f>
        <s:v>189856.0</s:v>
      </s:c>
    </s:row>
    <s:row r="7">
      <s:c r="A7" s="6" t="inlineStr">
        <s:is>
          <s:t>Индекс месяца (эмиссия)</s:t>
        </s:is>
      </s:c>
      <s:c r="B7" s="26">
        <s:f>Допущения!B$34</s:f>
        <s:v>1</s:v>
      </s:c>
      <s:c r="C7" s="26">
        <s:f>Допущения!C$34</s:f>
        <s:v>1</s:v>
      </s:c>
      <s:c r="D7" s="26">
        <s:f>Допущения!D$34</s:f>
        <s:v>1</s:v>
      </s:c>
      <s:c r="E7" s="26">
        <s:f>Допущения!E$34</s:f>
        <s:v>1</s:v>
      </s:c>
      <s:c r="F7" s="26">
        <s:f>Допущения!F$34</s:f>
        <s:v>1</s:v>
      </s:c>
      <s:c r="G7" s="26">
        <s:f>Допущения!G$34</s:f>
        <s:v>1</s:v>
      </s:c>
      <s:c r="H7" s="26">
        <s:f>Допущения!H$34</s:f>
        <s:v>1</s:v>
      </s:c>
      <s:c r="I7" s="26">
        <s:f>Допущения!I$34</s:f>
        <s:v>1</s:v>
      </s:c>
      <s:c r="J7" s="26">
        <s:f>Допущения!J$34</s:f>
        <s:v>1</s:v>
      </s:c>
      <s:c r="K7" s="26">
        <s:f>Допущения!K$34</s:f>
        <s:v>1</s:v>
      </s:c>
      <s:c r="L7" s="26">
        <s:f>Допущения!L$34</s:f>
        <s:v>1</s:v>
      </s:c>
      <s:c r="M7" s="26">
        <s:f>Допущения!M$34</s:f>
        <s:v>1</s:v>
      </s:c>
      <s:c r="N7" s="31">
        <s:f>AVERAGE(B7:M7)</s:f>
        <s:v>1.0</s:v>
      </s:c>
    </s:row>
    <s:row r="8">
      <s:c r="A8" s="6" t="inlineStr">
        <s:is>
          <s:t>ДОХОД: валовая выручка, ₽</s:t>
        </s:is>
      </s:c>
      <s:c r="B8" s="25">
        <s:f>B6*Выручка_вход!G6</s:f>
        <s:v>204095200.0</s:v>
      </s:c>
      <s:c r="C8" s="25">
        <s:f>C6*Выручка_вход!G7</s:f>
        <s:v>204095200.0</s:v>
      </s:c>
      <s:c r="D8" s="25">
        <s:f>D6*Выручка_вход!G8</s:f>
        <s:v>204095200.0</s:v>
      </s:c>
      <s:c r="E8" s="25">
        <s:f>E6*Выручка_вход!G9</s:f>
        <s:v>204095200.0</s:v>
      </s:c>
      <s:c r="F8" s="25">
        <s:f>F6*Выручка_вход!G10</s:f>
        <s:v>204095200.0</s:v>
      </s:c>
      <s:c r="G8" s="25">
        <s:f>G6*Выручка_вход!G11</s:f>
        <s:v>204095200.0</s:v>
      </s:c>
      <s:c r="H8" s="25">
        <s:f>H6*Выручка_вход!G12</s:f>
        <s:v>204095200.0</s:v>
      </s:c>
      <s:c r="I8" s="25">
        <s:f>I6*Выручка_вход!G13</s:f>
        <s:v>204095200.0</s:v>
      </s:c>
      <s:c r="J8" s="25">
        <s:f>J6*Выручка_вход!G14</s:f>
        <s:v>204095200.0</s:v>
      </s:c>
      <s:c r="K8" s="25">
        <s:f>K6*Выручка_вход!G15</s:f>
        <s:v>204095200.0</s:v>
      </s:c>
      <s:c r="L8" s="25">
        <s:f>L6*Выручка_вход!G16</s:f>
        <s:v>204095200.0</s:v>
      </s:c>
      <s:c r="M8" s="25">
        <s:f>M6*Выручка_вход!G17</s:f>
        <s:v>204095200.0</s:v>
      </s:c>
      <s:c r="N8" s="29">
        <s:f>SUM(B8:M8)</s:f>
        <s:v>2449142400.0</s:v>
      </s:c>
    </s:row>
    <s:row r="9">
      <s:c r="A9" s="6" t="inlineStr">
        <s:is>
          <s:t>ДОХОД: грязная маржа, ₽</s:t>
        </s:is>
      </s:c>
      <s:c r="B9" s="25">
        <s:f>B8*Допущения!$B$14</s:f>
        <s:v>61228560.0</s:v>
      </s:c>
      <s:c r="C9" s="25">
        <s:f>C8*Допущения!$B$14</s:f>
        <s:v>61228560.0</s:v>
      </s:c>
      <s:c r="D9" s="25">
        <s:f>D8*Допущения!$B$14</s:f>
        <s:v>61228560.0</s:v>
      </s:c>
      <s:c r="E9" s="25">
        <s:f>E8*Допущения!$B$14</s:f>
        <s:v>61228560.0</s:v>
      </s:c>
      <s:c r="F9" s="25">
        <s:f>F8*Допущения!$B$14</s:f>
        <s:v>61228560.0</s:v>
      </s:c>
      <s:c r="G9" s="25">
        <s:f>G8*Допущения!$B$14</s:f>
        <s:v>61228560.0</s:v>
      </s:c>
      <s:c r="H9" s="25">
        <s:f>H8*Допущения!$B$14</s:f>
        <s:v>61228560.0</s:v>
      </s:c>
      <s:c r="I9" s="25">
        <s:f>I8*Допущения!$B$14</s:f>
        <s:v>61228560.0</s:v>
      </s:c>
      <s:c r="J9" s="25">
        <s:f>J8*Допущения!$B$14</s:f>
        <s:v>61228560.0</s:v>
      </s:c>
      <s:c r="K9" s="25">
        <s:f>K8*Допущения!$B$14</s:f>
        <s:v>61228560.0</s:v>
      </s:c>
      <s:c r="L9" s="25">
        <s:f>L8*Допущения!$B$14</s:f>
        <s:v>61228560.0</s:v>
      </s:c>
      <s:c r="M9" s="25">
        <s:f>M8*Допущения!$B$14</s:f>
        <s:v>61228560.0</s:v>
      </s:c>
      <s:c r="N9" s="29">
        <s:f>SUM(B9:M9)</s:f>
        <s:v>734742720.0</s:v>
      </s:c>
    </s:row>
    <s:row r="10">
      <s:c r="A10" s="6" t="inlineStr">
        <s:is>
          <s:t>РАСХОД: эко-бонус базовый, ₽</s:t>
        </s:is>
      </s:c>
      <s:c r="B10" s="25">
        <s:f>B6*Допущения!$C$25*B7</s:f>
        <s:v>3047101.8468943886</s:v>
      </s:c>
      <s:c r="C10" s="25">
        <s:f>C6*Допущения!$C$25*C7</s:f>
        <s:v>3047101.8468943886</s:v>
      </s:c>
      <s:c r="D10" s="25">
        <s:f>D6*Допущения!$C$25*D7</s:f>
        <s:v>3047101.8468943886</s:v>
      </s:c>
      <s:c r="E10" s="25">
        <s:f>E6*Допущения!$C$25*E7</s:f>
        <s:v>3047101.8468943886</s:v>
      </s:c>
      <s:c r="F10" s="25">
        <s:f>F6*Допущения!$C$25*F7</s:f>
        <s:v>3047101.8468943886</s:v>
      </s:c>
      <s:c r="G10" s="25">
        <s:f>G6*Допущения!$C$25*G7</s:f>
        <s:v>3047101.8468943886</s:v>
      </s:c>
      <s:c r="H10" s="25">
        <s:f>H6*Допущения!$C$25*H7</s:f>
        <s:v>3047101.8468943886</s:v>
      </s:c>
      <s:c r="I10" s="25">
        <s:f>I6*Допущения!$C$25*I7</s:f>
        <s:v>3047101.8468943886</s:v>
      </s:c>
      <s:c r="J10" s="25">
        <s:f>J6*Допущения!$C$25*J7</s:f>
        <s:v>3047101.8468943886</s:v>
      </s:c>
      <s:c r="K10" s="25">
        <s:f>K6*Допущения!$C$25*K7</s:f>
        <s:v>3047101.8468943886</s:v>
      </s:c>
      <s:c r="L10" s="25">
        <s:f>L6*Допущения!$C$25*L7</s:f>
        <s:v>3047101.8468943886</s:v>
      </s:c>
      <s:c r="M10" s="25">
        <s:f>M6*Допущения!$C$25*M7</s:f>
        <s:v>3047101.8468943886</s:v>
      </s:c>
      <s:c r="N10" s="29">
        <s:f>SUM(B10:M10)</s:f>
        <s:v>36565222.16273266</s:v>
      </s:c>
    </s:row>
    <s:row r="11">
      <s:c r="A11" s="6" t="inlineStr">
        <s:is>
          <s:t>РАСХОД: эко-бонус с механикой, ₽</s:t>
        </s:is>
      </s:c>
      <s:c r="B11" s="25">
        <s:f>B10*Допущения!$D$6</s:f>
        <s:v>3047101.8468943886</s:v>
      </s:c>
      <s:c r="C11" s="25">
        <s:f>C10*Допущения!$D$6</s:f>
        <s:v>3047101.8468943886</s:v>
      </s:c>
      <s:c r="D11" s="25">
        <s:f>D10*Допущения!$D$6</s:f>
        <s:v>3047101.8468943886</s:v>
      </s:c>
      <s:c r="E11" s="25">
        <s:f>E10*Допущения!$D$6</s:f>
        <s:v>3047101.8468943886</s:v>
      </s:c>
      <s:c r="F11" s="25">
        <s:f>F10*Допущения!$D$6</s:f>
        <s:v>3047101.8468943886</s:v>
      </s:c>
      <s:c r="G11" s="25">
        <s:f>G10*Допущения!$D$6</s:f>
        <s:v>3047101.8468943886</s:v>
      </s:c>
      <s:c r="H11" s="25">
        <s:f>H10*Допущения!$D$6</s:f>
        <s:v>3047101.8468943886</s:v>
      </s:c>
      <s:c r="I11" s="25">
        <s:f>I10*Допущения!$D$6</s:f>
        <s:v>3047101.8468943886</s:v>
      </s:c>
      <s:c r="J11" s="25">
        <s:f>J10*Допущения!$D$6</s:f>
        <s:v>3047101.8468943886</s:v>
      </s:c>
      <s:c r="K11" s="25">
        <s:f>K10*Допущения!$D$6</s:f>
        <s:v>3047101.8468943886</s:v>
      </s:c>
      <s:c r="L11" s="25">
        <s:f>L10*Допущения!$D$6</s:f>
        <s:v>3047101.8468943886</s:v>
      </s:c>
      <s:c r="M11" s="25">
        <s:f>M10*Допущения!$D$6</s:f>
        <s:v>3047101.8468943886</s:v>
      </s:c>
      <s:c r="N11" s="29">
        <s:f>SUM(B11:M11)</s:f>
        <s:v>36565222.16273266</s:v>
      </s:c>
    </s:row>
    <s:row r="12">
      <s:c r="A12" s="6" t="inlineStr">
        <s:is>
          <s:t>РАСХОД: доплата от механики, ₽</s:t>
        </s:is>
      </s:c>
      <s:c r="B12" s="25">
        <s:f>B11-B10</s:f>
        <s:v>0.0</s:v>
      </s:c>
      <s:c r="C12" s="25">
        <s:f>C11-C10</s:f>
        <s:v>0.0</s:v>
      </s:c>
      <s:c r="D12" s="25">
        <s:f>D11-D10</s:f>
        <s:v>0.0</s:v>
      </s:c>
      <s:c r="E12" s="25">
        <s:f>E11-E10</s:f>
        <s:v>0.0</s:v>
      </s:c>
      <s:c r="F12" s="25">
        <s:f>F11-F10</s:f>
        <s:v>0.0</s:v>
      </s:c>
      <s:c r="G12" s="25">
        <s:f>G11-G10</s:f>
        <s:v>0.0</s:v>
      </s:c>
      <s:c r="H12" s="25">
        <s:f>H11-H10</s:f>
        <s:v>0.0</s:v>
      </s:c>
      <s:c r="I12" s="25">
        <s:f>I11-I10</s:f>
        <s:v>0.0</s:v>
      </s:c>
      <s:c r="J12" s="25">
        <s:f>J11-J10</s:f>
        <s:v>0.0</s:v>
      </s:c>
      <s:c r="K12" s="25">
        <s:f>K11-K10</s:f>
        <s:v>0.0</s:v>
      </s:c>
      <s:c r="L12" s="25">
        <s:f>L11-L10</s:f>
        <s:v>0.0</s:v>
      </s:c>
      <s:c r="M12" s="25">
        <s:f>M11-M10</s:f>
        <s:v>0.0</s:v>
      </s:c>
      <s:c r="N12" s="29">
        <s:f>SUM(B12:M12)</s:f>
        <s:v>0.0</s:v>
      </s:c>
    </s:row>
    <s:row r="13">
      <s:c r="A13" s="27" t="inlineStr">
        <s:is>
          <s:t>ВКЛАД: маржа − бонус с механикой, ₽</s:t>
        </s:is>
      </s:c>
      <s:c r="B13" s="29">
        <s:f>B9-B11</s:f>
        <s:v>58181458.15310561</s:v>
      </s:c>
      <s:c r="C13" s="29">
        <s:f>C9-C11</s:f>
        <s:v>58181458.15310561</s:v>
      </s:c>
      <s:c r="D13" s="29">
        <s:f>D9-D11</s:f>
        <s:v>58181458.15310561</s:v>
      </s:c>
      <s:c r="E13" s="29">
        <s:f>E9-E11</s:f>
        <s:v>58181458.15310561</s:v>
      </s:c>
      <s:c r="F13" s="29">
        <s:f>F9-F11</s:f>
        <s:v>58181458.15310561</s:v>
      </s:c>
      <s:c r="G13" s="29">
        <s:f>G9-G11</s:f>
        <s:v>58181458.15310561</s:v>
      </s:c>
      <s:c r="H13" s="29">
        <s:f>H9-H11</s:f>
        <s:v>58181458.15310561</s:v>
      </s:c>
      <s:c r="I13" s="29">
        <s:f>I9-I11</s:f>
        <s:v>58181458.15310561</s:v>
      </s:c>
      <s:c r="J13" s="29">
        <s:f>J9-J11</s:f>
        <s:v>58181458.15310561</s:v>
      </s:c>
      <s:c r="K13" s="29">
        <s:f>K9-K11</s:f>
        <s:v>58181458.15310561</s:v>
      </s:c>
      <s:c r="L13" s="29">
        <s:f>L9-L11</s:f>
        <s:v>58181458.15310561</s:v>
      </s:c>
      <s:c r="M13" s="29">
        <s:f>M9-M11</s:f>
        <s:v>58181458.15310561</s:v>
      </s:c>
      <s:c r="N13" s="29">
        <s:f>SUM(B13:M13)</s:f>
        <s:v>698177497.8372673</s:v>
      </s:c>
    </s:row>
    <s:row r="14">
      <s:c r="A14" s="6" t="inlineStr">
        <s:is>
          <s:t>Доплата, % от грязной маржи</s:t>
        </s:is>
      </s:c>
      <s:c r="B14" s="44">
        <s:f>IFERROR(B12/B9,0)</s:f>
        <s:v>0.0</s:v>
      </s:c>
      <s:c r="C14" s="44">
        <s:f>IFERROR(C12/C9,0)</s:f>
        <s:v>0.0</s:v>
      </s:c>
      <s:c r="D14" s="44">
        <s:f>IFERROR(D12/D9,0)</s:f>
        <s:v>0.0</s:v>
      </s:c>
      <s:c r="E14" s="44">
        <s:f>IFERROR(E12/E9,0)</s:f>
        <s:v>0.0</s:v>
      </s:c>
      <s:c r="F14" s="44">
        <s:f>IFERROR(F12/F9,0)</s:f>
        <s:v>0.0</s:v>
      </s:c>
      <s:c r="G14" s="44">
        <s:f>IFERROR(G12/G9,0)</s:f>
        <s:v>0.0</s:v>
      </s:c>
      <s:c r="H14" s="44">
        <s:f>IFERROR(H12/H9,0)</s:f>
        <s:v>0.0</s:v>
      </s:c>
      <s:c r="I14" s="44">
        <s:f>IFERROR(I12/I9,0)</s:f>
        <s:v>0.0</s:v>
      </s:c>
      <s:c r="J14" s="44">
        <s:f>IFERROR(J12/J9,0)</s:f>
        <s:v>0.0</s:v>
      </s:c>
      <s:c r="K14" s="44">
        <s:f>IFERROR(K12/K9,0)</s:f>
        <s:v>0.0</s:v>
      </s:c>
      <s:c r="L14" s="44">
        <s:f>IFERROR(L12/L9,0)</s:f>
        <s:v>0.0</s:v>
      </s:c>
      <s:c r="M14" s="44">
        <s:f>IFERROR(M12/M9,0)</s:f>
        <s:v>0.0</s:v>
      </s:c>
      <s:c r="N14" s="45">
        <s:f>IFERROR(N12/N9,0)</s:f>
        <s:v>0.0</s:v>
      </s:c>
    </s:row>
    <s:row r="16">
      <s:c r="A16" s="3" t="inlineStr">
        <s:is>
          <s:t>Тир 🌿 Росток — ВВ/мес 3 000–12 000 ₽</s:t>
        </s:is>
      </s:c>
    </s:row>
    <s:row r="17">
      <s:c r="A17" s="21" t="inlineStr">
        <s:is>
          <s:t>Показатель</s:t>
        </s:is>
      </s:c>
      <s:c r="B17" s="21" t="inlineStr">
        <s:is>
          <s:t>2026-01</s:t>
        </s:is>
      </s:c>
      <s:c r="C17" s="21" t="inlineStr">
        <s:is>
          <s:t>2026-02</s:t>
        </s:is>
      </s:c>
      <s:c r="D17" s="21" t="inlineStr">
        <s:is>
          <s:t>2026-03</s:t>
        </s:is>
      </s:c>
      <s:c r="E17" s="21" t="inlineStr">
        <s:is>
          <s:t>2026-04</s:t>
        </s:is>
      </s:c>
      <s:c r="F17" s="21" t="inlineStr">
        <s:is>
          <s:t>2026-05</s:t>
        </s:is>
      </s:c>
      <s:c r="G17" s="21" t="inlineStr">
        <s:is>
          <s:t>2026-06</s:t>
        </s:is>
      </s:c>
      <s:c r="H17" s="21" t="inlineStr">
        <s:is>
          <s:t>2026-07</s:t>
        </s:is>
      </s:c>
      <s:c r="I17" s="21" t="inlineStr">
        <s:is>
          <s:t>2026-08</s:t>
        </s:is>
      </s:c>
      <s:c r="J17" s="21" t="inlineStr">
        <s:is>
          <s:t>2026-09</s:t>
        </s:is>
      </s:c>
      <s:c r="K17" s="21" t="inlineStr">
        <s:is>
          <s:t>2026-10</s:t>
        </s:is>
      </s:c>
      <s:c r="L17" s="21" t="inlineStr">
        <s:is>
          <s:t>2026-11</s:t>
        </s:is>
      </s:c>
      <s:c r="M17" s="21" t="inlineStr">
        <s:is>
          <s:t>2026-12</s:t>
        </s:is>
      </s:c>
      <s:c r="N17" s="21" t="inlineStr">
        <s:is>
          <s:t>2026 итого</s:t>
        </s:is>
      </s:c>
    </s:row>
    <s:row r="18">
      <s:c r="A18" s="6" t="inlineStr">
        <s:is>
          <s:t>Юзеров в тире</s:t>
        </s:is>
      </s:c>
      <s:c r="B18" s="36">
        <s:f>Выручка_вход!D6</s:f>
        <s:v>51441</s:v>
      </s:c>
      <s:c r="C18" s="36">
        <s:f>Выручка_вход!D7</s:f>
        <s:v>51441</s:v>
      </s:c>
      <s:c r="D18" s="36">
        <s:f>Выручка_вход!D8</s:f>
        <s:v>51441</s:v>
      </s:c>
      <s:c r="E18" s="36">
        <s:f>Выручка_вход!D9</s:f>
        <s:v>51441</s:v>
      </s:c>
      <s:c r="F18" s="36">
        <s:f>Выручка_вход!D10</s:f>
        <s:v>51441</s:v>
      </s:c>
      <s:c r="G18" s="36">
        <s:f>Выручка_вход!D11</s:f>
        <s:v>51441</s:v>
      </s:c>
      <s:c r="H18" s="36">
        <s:f>Выручка_вход!D12</s:f>
        <s:v>51441</s:v>
      </s:c>
      <s:c r="I18" s="36">
        <s:f>Выручка_вход!D13</s:f>
        <s:v>51441</s:v>
      </s:c>
      <s:c r="J18" s="36">
        <s:f>Выручка_вход!D14</s:f>
        <s:v>51441</s:v>
      </s:c>
      <s:c r="K18" s="36">
        <s:f>Выручка_вход!D15</s:f>
        <s:v>51441</s:v>
      </s:c>
      <s:c r="L18" s="36">
        <s:f>Выручка_вход!D16</s:f>
        <s:v>51441</s:v>
      </s:c>
      <s:c r="M18" s="36">
        <s:f>Выручка_вход!D17</s:f>
        <s:v>51441</s:v>
      </s:c>
      <s:c r="N18" s="28">
        <s:f>AVERAGE(B18:M18)</s:f>
        <s:v>51441.0</s:v>
      </s:c>
    </s:row>
    <s:row r="19">
      <s:c r="A19" s="6" t="inlineStr">
        <s:is>
          <s:t>Индекс месяца (эмиссия)</s:t>
        </s:is>
      </s:c>
      <s:c r="B19" s="26">
        <s:f>Допущения!B$34</s:f>
        <s:v>1</s:v>
      </s:c>
      <s:c r="C19" s="26">
        <s:f>Допущения!C$34</s:f>
        <s:v>1</s:v>
      </s:c>
      <s:c r="D19" s="26">
        <s:f>Допущения!D$34</s:f>
        <s:v>1</s:v>
      </s:c>
      <s:c r="E19" s="26">
        <s:f>Допущения!E$34</s:f>
        <s:v>1</s:v>
      </s:c>
      <s:c r="F19" s="26">
        <s:f>Допущения!F$34</s:f>
        <s:v>1</s:v>
      </s:c>
      <s:c r="G19" s="26">
        <s:f>Допущения!G$34</s:f>
        <s:v>1</s:v>
      </s:c>
      <s:c r="H19" s="26">
        <s:f>Допущения!H$34</s:f>
        <s:v>1</s:v>
      </s:c>
      <s:c r="I19" s="26">
        <s:f>Допущения!I$34</s:f>
        <s:v>1</s:v>
      </s:c>
      <s:c r="J19" s="26">
        <s:f>Допущения!J$34</s:f>
        <s:v>1</s:v>
      </s:c>
      <s:c r="K19" s="26">
        <s:f>Допущения!K$34</s:f>
        <s:v>1</s:v>
      </s:c>
      <s:c r="L19" s="26">
        <s:f>Допущения!L$34</s:f>
        <s:v>1</s:v>
      </s:c>
      <s:c r="M19" s="26">
        <s:f>Допущения!M$34</s:f>
        <s:v>1</s:v>
      </s:c>
      <s:c r="N19" s="31">
        <s:f>AVERAGE(B19:M19)</s:f>
        <s:v>1.0</s:v>
      </s:c>
    </s:row>
    <s:row r="20">
      <s:c r="A20" s="6" t="inlineStr">
        <s:is>
          <s:t>ДОХОД: валовая выручка, ₽</s:t>
        </s:is>
      </s:c>
      <s:c r="B20" s="25">
        <s:f>B18*Выручка_вход!H6</s:f>
        <s:v>282976941.0</s:v>
      </s:c>
      <s:c r="C20" s="25">
        <s:f>C18*Выручка_вход!H7</s:f>
        <s:v>282976941.0</s:v>
      </s:c>
      <s:c r="D20" s="25">
        <s:f>D18*Выручка_вход!H8</s:f>
        <s:v>282976941.0</s:v>
      </s:c>
      <s:c r="E20" s="25">
        <s:f>E18*Выручка_вход!H9</s:f>
        <s:v>282976941.0</s:v>
      </s:c>
      <s:c r="F20" s="25">
        <s:f>F18*Выручка_вход!H10</s:f>
        <s:v>282976941.0</s:v>
      </s:c>
      <s:c r="G20" s="25">
        <s:f>G18*Выручка_вход!H11</s:f>
        <s:v>282976941.0</s:v>
      </s:c>
      <s:c r="H20" s="25">
        <s:f>H18*Выручка_вход!H12</s:f>
        <s:v>282976941.0</s:v>
      </s:c>
      <s:c r="I20" s="25">
        <s:f>I18*Выручка_вход!H13</s:f>
        <s:v>282976941.0</s:v>
      </s:c>
      <s:c r="J20" s="25">
        <s:f>J18*Выручка_вход!H14</s:f>
        <s:v>282976941.0</s:v>
      </s:c>
      <s:c r="K20" s="25">
        <s:f>K18*Выручка_вход!H15</s:f>
        <s:v>282976941.0</s:v>
      </s:c>
      <s:c r="L20" s="25">
        <s:f>L18*Выручка_вход!H16</s:f>
        <s:v>282976941.0</s:v>
      </s:c>
      <s:c r="M20" s="25">
        <s:f>M18*Выручка_вход!H17</s:f>
        <s:v>282976941.0</s:v>
      </s:c>
      <s:c r="N20" s="29">
        <s:f>SUM(B20:M20)</s:f>
        <s:v>3395723292.0</s:v>
      </s:c>
    </s:row>
    <s:row r="21">
      <s:c r="A21" s="6" t="inlineStr">
        <s:is>
          <s:t>ДОХОД: грязная маржа, ₽</s:t>
        </s:is>
      </s:c>
      <s:c r="B21" s="25">
        <s:f>B20*Допущения!$B$14</s:f>
        <s:v>84893082.3</s:v>
      </s:c>
      <s:c r="C21" s="25">
        <s:f>C20*Допущения!$B$14</s:f>
        <s:v>84893082.3</s:v>
      </s:c>
      <s:c r="D21" s="25">
        <s:f>D20*Допущения!$B$14</s:f>
        <s:v>84893082.3</s:v>
      </s:c>
      <s:c r="E21" s="25">
        <s:f>E20*Допущения!$B$14</s:f>
        <s:v>84893082.3</s:v>
      </s:c>
      <s:c r="F21" s="25">
        <s:f>F20*Допущения!$B$14</s:f>
        <s:v>84893082.3</s:v>
      </s:c>
      <s:c r="G21" s="25">
        <s:f>G20*Допущения!$B$14</s:f>
        <s:v>84893082.3</s:v>
      </s:c>
      <s:c r="H21" s="25">
        <s:f>H20*Допущения!$B$14</s:f>
        <s:v>84893082.3</s:v>
      </s:c>
      <s:c r="I21" s="25">
        <s:f>I20*Допущения!$B$14</s:f>
        <s:v>84893082.3</s:v>
      </s:c>
      <s:c r="J21" s="25">
        <s:f>J20*Допущения!$B$14</s:f>
        <s:v>84893082.3</s:v>
      </s:c>
      <s:c r="K21" s="25">
        <s:f>K20*Допущения!$B$14</s:f>
        <s:v>84893082.3</s:v>
      </s:c>
      <s:c r="L21" s="25">
        <s:f>L20*Допущения!$B$14</s:f>
        <s:v>84893082.3</s:v>
      </s:c>
      <s:c r="M21" s="25">
        <s:f>M20*Допущения!$B$14</s:f>
        <s:v>84893082.3</s:v>
      </s:c>
      <s:c r="N21" s="29">
        <s:f>SUM(B21:M21)</s:f>
        <s:v>1018716987.5999998</s:v>
      </s:c>
    </s:row>
    <s:row r="22">
      <s:c r="A22" s="6" t="inlineStr">
        <s:is>
          <s:t>РАСХОД: эко-бонус базовый, ₽</s:t>
        </s:is>
      </s:c>
      <s:c r="B22" s="25">
        <s:f>B18*Допущения!$C$26*B19</s:f>
        <s:v>825604.4902773377</s:v>
      </s:c>
      <s:c r="C22" s="25">
        <s:f>C18*Допущения!$C$26*C19</s:f>
        <s:v>825604.4902773377</s:v>
      </s:c>
      <s:c r="D22" s="25">
        <s:f>D18*Допущения!$C$26*D19</s:f>
        <s:v>825604.4902773377</s:v>
      </s:c>
      <s:c r="E22" s="25">
        <s:f>E18*Допущения!$C$26*E19</s:f>
        <s:v>825604.4902773377</s:v>
      </s:c>
      <s:c r="F22" s="25">
        <s:f>F18*Допущения!$C$26*F19</s:f>
        <s:v>825604.4902773377</s:v>
      </s:c>
      <s:c r="G22" s="25">
        <s:f>G18*Допущения!$C$26*G19</s:f>
        <s:v>825604.4902773377</s:v>
      </s:c>
      <s:c r="H22" s="25">
        <s:f>H18*Допущения!$C$26*H19</s:f>
        <s:v>825604.4902773377</s:v>
      </s:c>
      <s:c r="I22" s="25">
        <s:f>I18*Допущения!$C$26*I19</s:f>
        <s:v>825604.4902773377</s:v>
      </s:c>
      <s:c r="J22" s="25">
        <s:f>J18*Допущения!$C$26*J19</s:f>
        <s:v>825604.4902773377</s:v>
      </s:c>
      <s:c r="K22" s="25">
        <s:f>K18*Допущения!$C$26*K19</s:f>
        <s:v>825604.4902773377</s:v>
      </s:c>
      <s:c r="L22" s="25">
        <s:f>L18*Допущения!$C$26*L19</s:f>
        <s:v>825604.4902773377</s:v>
      </s:c>
      <s:c r="M22" s="25">
        <s:f>M18*Допущения!$C$26*M19</s:f>
        <s:v>825604.4902773377</s:v>
      </s:c>
      <s:c r="N22" s="29">
        <s:f>SUM(B22:M22)</s:f>
        <s:v>9907253.883328052</s:v>
      </s:c>
    </s:row>
    <s:row r="23">
      <s:c r="A23" s="6" t="inlineStr">
        <s:is>
          <s:t>РАСХОД: эко-бонус с механикой, ₽</s:t>
        </s:is>
      </s:c>
      <s:c r="B23" s="25">
        <s:f>B22*Допущения!$D$7</s:f>
        <s:v>1155846.2863882727</s:v>
      </s:c>
      <s:c r="C23" s="25">
        <s:f>C22*Допущения!$D$7</s:f>
        <s:v>1155846.2863882727</s:v>
      </s:c>
      <s:c r="D23" s="25">
        <s:f>D22*Допущения!$D$7</s:f>
        <s:v>1155846.2863882727</s:v>
      </s:c>
      <s:c r="E23" s="25">
        <s:f>E22*Допущения!$D$7</s:f>
        <s:v>1155846.2863882727</s:v>
      </s:c>
      <s:c r="F23" s="25">
        <s:f>F22*Допущения!$D$7</s:f>
        <s:v>1155846.2863882727</s:v>
      </s:c>
      <s:c r="G23" s="25">
        <s:f>G22*Допущения!$D$7</s:f>
        <s:v>1155846.2863882727</s:v>
      </s:c>
      <s:c r="H23" s="25">
        <s:f>H22*Допущения!$D$7</s:f>
        <s:v>1155846.2863882727</s:v>
      </s:c>
      <s:c r="I23" s="25">
        <s:f>I22*Допущения!$D$7</s:f>
        <s:v>1155846.2863882727</s:v>
      </s:c>
      <s:c r="J23" s="25">
        <s:f>J22*Допущения!$D$7</s:f>
        <s:v>1155846.2863882727</s:v>
      </s:c>
      <s:c r="K23" s="25">
        <s:f>K22*Допущения!$D$7</s:f>
        <s:v>1155846.2863882727</s:v>
      </s:c>
      <s:c r="L23" s="25">
        <s:f>L22*Допущения!$D$7</s:f>
        <s:v>1155846.2863882727</s:v>
      </s:c>
      <s:c r="M23" s="25">
        <s:f>M22*Допущения!$D$7</s:f>
        <s:v>1155846.2863882727</s:v>
      </s:c>
      <s:c r="N23" s="29">
        <s:f>SUM(B23:M23)</s:f>
        <s:v>13870155.43665927</s:v>
      </s:c>
    </s:row>
    <s:row r="24">
      <s:c r="A24" s="6" t="inlineStr">
        <s:is>
          <s:t>РАСХОД: доплата от механики, ₽</s:t>
        </s:is>
      </s:c>
      <s:c r="B24" s="25">
        <s:f>B23-B22</s:f>
        <s:v>330241.7961109349</s:v>
      </s:c>
      <s:c r="C24" s="25">
        <s:f>C23-C22</s:f>
        <s:v>330241.7961109349</s:v>
      </s:c>
      <s:c r="D24" s="25">
        <s:f>D23-D22</s:f>
        <s:v>330241.7961109349</s:v>
      </s:c>
      <s:c r="E24" s="25">
        <s:f>E23-E22</s:f>
        <s:v>330241.7961109349</s:v>
      </s:c>
      <s:c r="F24" s="25">
        <s:f>F23-F22</s:f>
        <s:v>330241.7961109349</s:v>
      </s:c>
      <s:c r="G24" s="25">
        <s:f>G23-G22</s:f>
        <s:v>330241.7961109349</s:v>
      </s:c>
      <s:c r="H24" s="25">
        <s:f>H23-H22</s:f>
        <s:v>330241.7961109349</s:v>
      </s:c>
      <s:c r="I24" s="25">
        <s:f>I23-I22</s:f>
        <s:v>330241.7961109349</s:v>
      </s:c>
      <s:c r="J24" s="25">
        <s:f>J23-J22</s:f>
        <s:v>330241.7961109349</s:v>
      </s:c>
      <s:c r="K24" s="25">
        <s:f>K23-K22</s:f>
        <s:v>330241.7961109349</s:v>
      </s:c>
      <s:c r="L24" s="25">
        <s:f>L23-L22</s:f>
        <s:v>330241.7961109349</s:v>
      </s:c>
      <s:c r="M24" s="25">
        <s:f>M23-M22</s:f>
        <s:v>330241.7961109349</s:v>
      </s:c>
      <s:c r="N24" s="29">
        <s:f>SUM(B24:M24)</s:f>
        <s:v>3962901.5533312196</s:v>
      </s:c>
    </s:row>
    <s:row r="25">
      <s:c r="A25" s="27" t="inlineStr">
        <s:is>
          <s:t>ВКЛАД: маржа − бонус с механикой, ₽</s:t>
        </s:is>
      </s:c>
      <s:c r="B25" s="29">
        <s:f>B21-B23</s:f>
        <s:v>83737236.01361172</s:v>
      </s:c>
      <s:c r="C25" s="29">
        <s:f>C21-C23</s:f>
        <s:v>83737236.01361172</s:v>
      </s:c>
      <s:c r="D25" s="29">
        <s:f>D21-D23</s:f>
        <s:v>83737236.01361172</s:v>
      </s:c>
      <s:c r="E25" s="29">
        <s:f>E21-E23</s:f>
        <s:v>83737236.01361172</s:v>
      </s:c>
      <s:c r="F25" s="29">
        <s:f>F21-F23</s:f>
        <s:v>83737236.01361172</s:v>
      </s:c>
      <s:c r="G25" s="29">
        <s:f>G21-G23</s:f>
        <s:v>83737236.01361172</s:v>
      </s:c>
      <s:c r="H25" s="29">
        <s:f>H21-H23</s:f>
        <s:v>83737236.01361172</s:v>
      </s:c>
      <s:c r="I25" s="29">
        <s:f>I21-I23</s:f>
        <s:v>83737236.01361172</s:v>
      </s:c>
      <s:c r="J25" s="29">
        <s:f>J21-J23</s:f>
        <s:v>83737236.01361172</s:v>
      </s:c>
      <s:c r="K25" s="29">
        <s:f>K21-K23</s:f>
        <s:v>83737236.01361172</s:v>
      </s:c>
      <s:c r="L25" s="29">
        <s:f>L21-L23</s:f>
        <s:v>83737236.01361172</s:v>
      </s:c>
      <s:c r="M25" s="29">
        <s:f>M21-M23</s:f>
        <s:v>83737236.01361172</s:v>
      </s:c>
      <s:c r="N25" s="29">
        <s:f>SUM(B25:M25)</s:f>
        <s:v>1004846832.1633404</s:v>
      </s:c>
    </s:row>
    <s:row r="26">
      <s:c r="A26" s="6" t="inlineStr">
        <s:is>
          <s:t>Доплата, % от грязной маржи</s:t>
        </s:is>
      </s:c>
      <s:c r="B26" s="44">
        <s:f>IFERROR(B24/B21,0)</s:f>
        <s:v>0.0038900907725780026</s:v>
      </s:c>
      <s:c r="C26" s="44">
        <s:f>IFERROR(C24/C21,0)</s:f>
        <s:v>0.0038900907725780026</s:v>
      </s:c>
      <s:c r="D26" s="44">
        <s:f>IFERROR(D24/D21,0)</s:f>
        <s:v>0.0038900907725780026</s:v>
      </s:c>
      <s:c r="E26" s="44">
        <s:f>IFERROR(E24/E21,0)</s:f>
        <s:v>0.0038900907725780026</s:v>
      </s:c>
      <s:c r="F26" s="44">
        <s:f>IFERROR(F24/F21,0)</s:f>
        <s:v>0.0038900907725780026</s:v>
      </s:c>
      <s:c r="G26" s="44">
        <s:f>IFERROR(G24/G21,0)</s:f>
        <s:v>0.0038900907725780026</s:v>
      </s:c>
      <s:c r="H26" s="44">
        <s:f>IFERROR(H24/H21,0)</s:f>
        <s:v>0.0038900907725780026</s:v>
      </s:c>
      <s:c r="I26" s="44">
        <s:f>IFERROR(I24/I21,0)</s:f>
        <s:v>0.0038900907725780026</s:v>
      </s:c>
      <s:c r="J26" s="44">
        <s:f>IFERROR(J24/J21,0)</s:f>
        <s:v>0.0038900907725780026</s:v>
      </s:c>
      <s:c r="K26" s="44">
        <s:f>IFERROR(K24/K21,0)</s:f>
        <s:v>0.0038900907725780026</s:v>
      </s:c>
      <s:c r="L26" s="44">
        <s:f>IFERROR(L24/L21,0)</s:f>
        <s:v>0.0038900907725780026</s:v>
      </s:c>
      <s:c r="M26" s="44">
        <s:f>IFERROR(M24/M21,0)</s:f>
        <s:v>0.0038900907725780026</s:v>
      </s:c>
      <s:c r="N26" s="45">
        <s:f>IFERROR(N24/N21,0)</s:f>
        <s:v>0.0038900907725780034</s:v>
      </s:c>
    </s:row>
    <s:row r="28">
      <s:c r="A28" s="3" t="inlineStr">
        <s:is>
          <s:t>Тир 🌳 Дерево — ВВ/мес 12 000–35 000 ₽</s:t>
        </s:is>
      </s:c>
    </s:row>
    <s:row r="29">
      <s:c r="A29" s="21" t="inlineStr">
        <s:is>
          <s:t>Показатель</s:t>
        </s:is>
      </s:c>
      <s:c r="B29" s="21" t="inlineStr">
        <s:is>
          <s:t>2026-01</s:t>
        </s:is>
      </s:c>
      <s:c r="C29" s="21" t="inlineStr">
        <s:is>
          <s:t>2026-02</s:t>
        </s:is>
      </s:c>
      <s:c r="D29" s="21" t="inlineStr">
        <s:is>
          <s:t>2026-03</s:t>
        </s:is>
      </s:c>
      <s:c r="E29" s="21" t="inlineStr">
        <s:is>
          <s:t>2026-04</s:t>
        </s:is>
      </s:c>
      <s:c r="F29" s="21" t="inlineStr">
        <s:is>
          <s:t>2026-05</s:t>
        </s:is>
      </s:c>
      <s:c r="G29" s="21" t="inlineStr">
        <s:is>
          <s:t>2026-06</s:t>
        </s:is>
      </s:c>
      <s:c r="H29" s="21" t="inlineStr">
        <s:is>
          <s:t>2026-07</s:t>
        </s:is>
      </s:c>
      <s:c r="I29" s="21" t="inlineStr">
        <s:is>
          <s:t>2026-08</s:t>
        </s:is>
      </s:c>
      <s:c r="J29" s="21" t="inlineStr">
        <s:is>
          <s:t>2026-09</s:t>
        </s:is>
      </s:c>
      <s:c r="K29" s="21" t="inlineStr">
        <s:is>
          <s:t>2026-10</s:t>
        </s:is>
      </s:c>
      <s:c r="L29" s="21" t="inlineStr">
        <s:is>
          <s:t>2026-11</s:t>
        </s:is>
      </s:c>
      <s:c r="M29" s="21" t="inlineStr">
        <s:is>
          <s:t>2026-12</s:t>
        </s:is>
      </s:c>
      <s:c r="N29" s="21" t="inlineStr">
        <s:is>
          <s:t>2026 итого</s:t>
        </s:is>
      </s:c>
    </s:row>
    <s:row r="30">
      <s:c r="A30" s="6" t="inlineStr">
        <s:is>
          <s:t>Юзеров в тире</s:t>
        </s:is>
      </s:c>
      <s:c r="B30" s="36">
        <s:f>Выручка_вход!E6</s:f>
        <s:v>6938</s:v>
      </s:c>
      <s:c r="C30" s="36">
        <s:f>Выручка_вход!E7</s:f>
        <s:v>6938</s:v>
      </s:c>
      <s:c r="D30" s="36">
        <s:f>Выручка_вход!E8</s:f>
        <s:v>6938</s:v>
      </s:c>
      <s:c r="E30" s="36">
        <s:f>Выручка_вход!E9</s:f>
        <s:v>6938</s:v>
      </s:c>
      <s:c r="F30" s="36">
        <s:f>Выручка_вход!E10</s:f>
        <s:v>6938</s:v>
      </s:c>
      <s:c r="G30" s="36">
        <s:f>Выручка_вход!E11</s:f>
        <s:v>6938</s:v>
      </s:c>
      <s:c r="H30" s="36">
        <s:f>Выручка_вход!E12</s:f>
        <s:v>6938</s:v>
      </s:c>
      <s:c r="I30" s="36">
        <s:f>Выручка_вход!E13</s:f>
        <s:v>6938</s:v>
      </s:c>
      <s:c r="J30" s="36">
        <s:f>Выручка_вход!E14</s:f>
        <s:v>6938</s:v>
      </s:c>
      <s:c r="K30" s="36">
        <s:f>Выручка_вход!E15</s:f>
        <s:v>6938</s:v>
      </s:c>
      <s:c r="L30" s="36">
        <s:f>Выручка_вход!E16</s:f>
        <s:v>6938</s:v>
      </s:c>
      <s:c r="M30" s="36">
        <s:f>Выручка_вход!E17</s:f>
        <s:v>6938</s:v>
      </s:c>
      <s:c r="N30" s="28">
        <s:f>AVERAGE(B30:M30)</s:f>
        <s:v>6938.0</s:v>
      </s:c>
    </s:row>
    <s:row r="31">
      <s:c r="A31" s="6" t="inlineStr">
        <s:is>
          <s:t>Индекс месяца (эмиссия)</s:t>
        </s:is>
      </s:c>
      <s:c r="B31" s="26">
        <s:f>Допущения!B$34</s:f>
        <s:v>1</s:v>
      </s:c>
      <s:c r="C31" s="26">
        <s:f>Допущения!C$34</s:f>
        <s:v>1</s:v>
      </s:c>
      <s:c r="D31" s="26">
        <s:f>Допущения!D$34</s:f>
        <s:v>1</s:v>
      </s:c>
      <s:c r="E31" s="26">
        <s:f>Допущения!E$34</s:f>
        <s:v>1</s:v>
      </s:c>
      <s:c r="F31" s="26">
        <s:f>Допущения!F$34</s:f>
        <s:v>1</s:v>
      </s:c>
      <s:c r="G31" s="26">
        <s:f>Допущения!G$34</s:f>
        <s:v>1</s:v>
      </s:c>
      <s:c r="H31" s="26">
        <s:f>Допущения!H$34</s:f>
        <s:v>1</s:v>
      </s:c>
      <s:c r="I31" s="26">
        <s:f>Допущения!I$34</s:f>
        <s:v>1</s:v>
      </s:c>
      <s:c r="J31" s="26">
        <s:f>Допущения!J$34</s:f>
        <s:v>1</s:v>
      </s:c>
      <s:c r="K31" s="26">
        <s:f>Допущения!K$34</s:f>
        <s:v>1</s:v>
      </s:c>
      <s:c r="L31" s="26">
        <s:f>Допущения!L$34</s:f>
        <s:v>1</s:v>
      </s:c>
      <s:c r="M31" s="26">
        <s:f>Допущения!M$34</s:f>
        <s:v>1</s:v>
      </s:c>
      <s:c r="N31" s="31">
        <s:f>AVERAGE(B31:M31)</s:f>
        <s:v>1.0</s:v>
      </s:c>
    </s:row>
    <s:row r="32">
      <s:c r="A32" s="6" t="inlineStr">
        <s:is>
          <s:t>ДОХОД: валовая выручка, ₽</s:t>
        </s:is>
      </s:c>
      <s:c r="B32" s="25">
        <s:f>B30*Выручка_вход!I6</s:f>
        <s:v>125133768.0</s:v>
      </s:c>
      <s:c r="C32" s="25">
        <s:f>C30*Выручка_вход!I7</s:f>
        <s:v>125133768.0</s:v>
      </s:c>
      <s:c r="D32" s="25">
        <s:f>D30*Выручка_вход!I8</s:f>
        <s:v>125133768.0</s:v>
      </s:c>
      <s:c r="E32" s="25">
        <s:f>E30*Выручка_вход!I9</s:f>
        <s:v>125133768.0</s:v>
      </s:c>
      <s:c r="F32" s="25">
        <s:f>F30*Выручка_вход!I10</s:f>
        <s:v>125133768.0</s:v>
      </s:c>
      <s:c r="G32" s="25">
        <s:f>G30*Выручка_вход!I11</s:f>
        <s:v>125133768.0</s:v>
      </s:c>
      <s:c r="H32" s="25">
        <s:f>H30*Выручка_вход!I12</s:f>
        <s:v>125133768.0</s:v>
      </s:c>
      <s:c r="I32" s="25">
        <s:f>I30*Выручка_вход!I13</s:f>
        <s:v>125133768.0</s:v>
      </s:c>
      <s:c r="J32" s="25">
        <s:f>J30*Выручка_вход!I14</s:f>
        <s:v>125133768.0</s:v>
      </s:c>
      <s:c r="K32" s="25">
        <s:f>K30*Выручка_вход!I15</s:f>
        <s:v>125133768.0</s:v>
      </s:c>
      <s:c r="L32" s="25">
        <s:f>L30*Выручка_вход!I16</s:f>
        <s:v>125133768.0</s:v>
      </s:c>
      <s:c r="M32" s="25">
        <s:f>M30*Выручка_вход!I17</s:f>
        <s:v>125133768.0</s:v>
      </s:c>
      <s:c r="N32" s="29">
        <s:f>SUM(B32:M32)</s:f>
        <s:v>1501605216.0</s:v>
      </s:c>
    </s:row>
    <s:row r="33">
      <s:c r="A33" s="6" t="inlineStr">
        <s:is>
          <s:t>ДОХОД: грязная маржа, ₽</s:t>
        </s:is>
      </s:c>
      <s:c r="B33" s="25">
        <s:f>B32*Допущения!$B$14</s:f>
        <s:v>37540130.4</s:v>
      </s:c>
      <s:c r="C33" s="25">
        <s:f>C32*Допущения!$B$14</s:f>
        <s:v>37540130.4</s:v>
      </s:c>
      <s:c r="D33" s="25">
        <s:f>D32*Допущения!$B$14</s:f>
        <s:v>37540130.4</s:v>
      </s:c>
      <s:c r="E33" s="25">
        <s:f>E32*Допущения!$B$14</s:f>
        <s:v>37540130.4</s:v>
      </s:c>
      <s:c r="F33" s="25">
        <s:f>F32*Допущения!$B$14</s:f>
        <s:v>37540130.4</s:v>
      </s:c>
      <s:c r="G33" s="25">
        <s:f>G32*Допущения!$B$14</s:f>
        <s:v>37540130.4</s:v>
      </s:c>
      <s:c r="H33" s="25">
        <s:f>H32*Допущения!$B$14</s:f>
        <s:v>37540130.4</s:v>
      </s:c>
      <s:c r="I33" s="25">
        <s:f>I32*Допущения!$B$14</s:f>
        <s:v>37540130.4</s:v>
      </s:c>
      <s:c r="J33" s="25">
        <s:f>J32*Допущения!$B$14</s:f>
        <s:v>37540130.4</s:v>
      </s:c>
      <s:c r="K33" s="25">
        <s:f>K32*Допущения!$B$14</s:f>
        <s:v>37540130.4</s:v>
      </s:c>
      <s:c r="L33" s="25">
        <s:f>L32*Допущения!$B$14</s:f>
        <s:v>37540130.4</s:v>
      </s:c>
      <s:c r="M33" s="25">
        <s:f>M32*Допущения!$B$14</s:f>
        <s:v>37540130.4</s:v>
      </s:c>
      <s:c r="N33" s="29">
        <s:f>SUM(B33:M33)</s:f>
        <s:v>450481564.7999999</s:v>
      </s:c>
    </s:row>
    <s:row r="34">
      <s:c r="A34" s="6" t="inlineStr">
        <s:is>
          <s:t>РАСХОД: эко-бонус базовый, ₽</s:t>
        </s:is>
      </s:c>
      <s:c r="B34" s="25">
        <s:f>B30*Допущения!$C$27*B31</s:f>
        <s:v>111351.72243043815</s:v>
      </s:c>
      <s:c r="C34" s="25">
        <s:f>C30*Допущения!$C$27*C31</s:f>
        <s:v>111351.72243043815</s:v>
      </s:c>
      <s:c r="D34" s="25">
        <s:f>D30*Допущения!$C$27*D31</s:f>
        <s:v>111351.72243043815</s:v>
      </s:c>
      <s:c r="E34" s="25">
        <s:f>E30*Допущения!$C$27*E31</s:f>
        <s:v>111351.72243043815</s:v>
      </s:c>
      <s:c r="F34" s="25">
        <s:f>F30*Допущения!$C$27*F31</s:f>
        <s:v>111351.72243043815</s:v>
      </s:c>
      <s:c r="G34" s="25">
        <s:f>G30*Допущения!$C$27*G31</s:f>
        <s:v>111351.72243043815</s:v>
      </s:c>
      <s:c r="H34" s="25">
        <s:f>H30*Допущения!$C$27*H31</s:f>
        <s:v>111351.72243043815</s:v>
      </s:c>
      <s:c r="I34" s="25">
        <s:f>I30*Допущения!$C$27*I31</s:f>
        <s:v>111351.72243043815</s:v>
      </s:c>
      <s:c r="J34" s="25">
        <s:f>J30*Допущения!$C$27*J31</s:f>
        <s:v>111351.72243043815</s:v>
      </s:c>
      <s:c r="K34" s="25">
        <s:f>K30*Допущения!$C$27*K31</s:f>
        <s:v>111351.72243043815</s:v>
      </s:c>
      <s:c r="L34" s="25">
        <s:f>L30*Допущения!$C$27*L31</s:f>
        <s:v>111351.72243043815</s:v>
      </s:c>
      <s:c r="M34" s="25">
        <s:f>M30*Допущения!$C$27*M31</s:f>
        <s:v>111351.72243043815</s:v>
      </s:c>
      <s:c r="N34" s="29">
        <s:f>SUM(B34:M34)</s:f>
        <s:v>1336220.6691652578</s:v>
      </s:c>
    </s:row>
    <s:row r="35">
      <s:c r="A35" s="6" t="inlineStr">
        <s:is>
          <s:t>РАСХОД: эко-бонус с механикой, ₽</s:t>
        </s:is>
      </s:c>
      <s:c r="B35" s="25">
        <s:f>B34*Допущения!$D$8</s:f>
        <s:v>239406.203225442</s:v>
      </s:c>
      <s:c r="C35" s="25">
        <s:f>C34*Допущения!$D$8</s:f>
        <s:v>239406.203225442</s:v>
      </s:c>
      <s:c r="D35" s="25">
        <s:f>D34*Допущения!$D$8</s:f>
        <s:v>239406.203225442</s:v>
      </s:c>
      <s:c r="E35" s="25">
        <s:f>E34*Допущения!$D$8</s:f>
        <s:v>239406.203225442</s:v>
      </s:c>
      <s:c r="F35" s="25">
        <s:f>F34*Допущения!$D$8</s:f>
        <s:v>239406.203225442</s:v>
      </s:c>
      <s:c r="G35" s="25">
        <s:f>G34*Допущения!$D$8</s:f>
        <s:v>239406.203225442</s:v>
      </s:c>
      <s:c r="H35" s="25">
        <s:f>H34*Допущения!$D$8</s:f>
        <s:v>239406.203225442</s:v>
      </s:c>
      <s:c r="I35" s="25">
        <s:f>I34*Допущения!$D$8</s:f>
        <s:v>239406.203225442</s:v>
      </s:c>
      <s:c r="J35" s="25">
        <s:f>J34*Допущения!$D$8</s:f>
        <s:v>239406.203225442</s:v>
      </s:c>
      <s:c r="K35" s="25">
        <s:f>K34*Допущения!$D$8</s:f>
        <s:v>239406.203225442</s:v>
      </s:c>
      <s:c r="L35" s="25">
        <s:f>L34*Допущения!$D$8</s:f>
        <s:v>239406.203225442</s:v>
      </s:c>
      <s:c r="M35" s="25">
        <s:f>M34*Допущения!$D$8</s:f>
        <s:v>239406.203225442</s:v>
      </s:c>
      <s:c r="N35" s="29">
        <s:f>SUM(B35:M35)</s:f>
        <s:v>2872874.4387053046</s:v>
      </s:c>
    </s:row>
    <s:row r="36">
      <s:c r="A36" s="6" t="inlineStr">
        <s:is>
          <s:t>РАСХОД: доплата от механики, ₽</s:t>
        </s:is>
      </s:c>
      <s:c r="B36" s="25">
        <s:f>B35-B34</s:f>
        <s:v>128054.48079500385</s:v>
      </s:c>
      <s:c r="C36" s="25">
        <s:f>C35-C34</s:f>
        <s:v>128054.48079500385</s:v>
      </s:c>
      <s:c r="D36" s="25">
        <s:f>D35-D34</s:f>
        <s:v>128054.48079500385</s:v>
      </s:c>
      <s:c r="E36" s="25">
        <s:f>E35-E34</s:f>
        <s:v>128054.48079500385</s:v>
      </s:c>
      <s:c r="F36" s="25">
        <s:f>F35-F34</s:f>
        <s:v>128054.48079500385</s:v>
      </s:c>
      <s:c r="G36" s="25">
        <s:f>G35-G34</s:f>
        <s:v>128054.48079500385</s:v>
      </s:c>
      <s:c r="H36" s="25">
        <s:f>H35-H34</s:f>
        <s:v>128054.48079500385</s:v>
      </s:c>
      <s:c r="I36" s="25">
        <s:f>I35-I34</s:f>
        <s:v>128054.48079500385</s:v>
      </s:c>
      <s:c r="J36" s="25">
        <s:f>J35-J34</s:f>
        <s:v>128054.48079500385</s:v>
      </s:c>
      <s:c r="K36" s="25">
        <s:f>K35-K34</s:f>
        <s:v>128054.48079500385</s:v>
      </s:c>
      <s:c r="L36" s="25">
        <s:f>L35-L34</s:f>
        <s:v>128054.48079500385</s:v>
      </s:c>
      <s:c r="M36" s="25">
        <s:f>M35-M34</s:f>
        <s:v>128054.48079500385</s:v>
      </s:c>
      <s:c r="N36" s="29">
        <s:f>SUM(B36:M36)</s:f>
        <s:v>1536653.7695400466</s:v>
      </s:c>
    </s:row>
    <s:row r="37">
      <s:c r="A37" s="27" t="inlineStr">
        <s:is>
          <s:t>ВКЛАД: маржа − бонус с механикой, ₽</s:t>
        </s:is>
      </s:c>
      <s:c r="B37" s="29">
        <s:f>B33-B35</s:f>
        <s:v>37300724.19677456</s:v>
      </s:c>
      <s:c r="C37" s="29">
        <s:f>C33-C35</s:f>
        <s:v>37300724.19677456</s:v>
      </s:c>
      <s:c r="D37" s="29">
        <s:f>D33-D35</s:f>
        <s:v>37300724.19677456</s:v>
      </s:c>
      <s:c r="E37" s="29">
        <s:f>E33-E35</s:f>
        <s:v>37300724.19677456</s:v>
      </s:c>
      <s:c r="F37" s="29">
        <s:f>F33-F35</s:f>
        <s:v>37300724.19677456</s:v>
      </s:c>
      <s:c r="G37" s="29">
        <s:f>G33-G35</s:f>
        <s:v>37300724.19677456</s:v>
      </s:c>
      <s:c r="H37" s="29">
        <s:f>H33-H35</s:f>
        <s:v>37300724.19677456</s:v>
      </s:c>
      <s:c r="I37" s="29">
        <s:f>I33-I35</s:f>
        <s:v>37300724.19677456</s:v>
      </s:c>
      <s:c r="J37" s="29">
        <s:f>J33-J35</s:f>
        <s:v>37300724.19677456</s:v>
      </s:c>
      <s:c r="K37" s="29">
        <s:f>K33-K35</s:f>
        <s:v>37300724.19677456</s:v>
      </s:c>
      <s:c r="L37" s="29">
        <s:f>L33-L35</s:f>
        <s:v>37300724.19677456</s:v>
      </s:c>
      <s:c r="M37" s="29">
        <s:f>M33-M35</s:f>
        <s:v>37300724.19677456</s:v>
      </s:c>
      <s:c r="N37" s="29">
        <s:f>SUM(B37:M37)</s:f>
        <s:v>447608690.3612946</s:v>
      </s:c>
    </s:row>
    <s:row r="38">
      <s:c r="A38" s="6" t="inlineStr">
        <s:is>
          <s:t>Доплата, % от грязной маржи</s:t>
        </s:is>
      </s:c>
      <s:c r="B38" s="44">
        <s:f>IFERROR(B36/B33,0)</s:f>
        <s:v>0.0034111357480794435</s:v>
      </s:c>
      <s:c r="C38" s="44">
        <s:f>IFERROR(C36/C33,0)</s:f>
        <s:v>0.0034111357480794435</s:v>
      </s:c>
      <s:c r="D38" s="44">
        <s:f>IFERROR(D36/D33,0)</s:f>
        <s:v>0.0034111357480794435</s:v>
      </s:c>
      <s:c r="E38" s="44">
        <s:f>IFERROR(E36/E33,0)</s:f>
        <s:v>0.0034111357480794435</s:v>
      </s:c>
      <s:c r="F38" s="44">
        <s:f>IFERROR(F36/F33,0)</s:f>
        <s:v>0.0034111357480794435</s:v>
      </s:c>
      <s:c r="G38" s="44">
        <s:f>IFERROR(G36/G33,0)</s:f>
        <s:v>0.0034111357480794435</s:v>
      </s:c>
      <s:c r="H38" s="44">
        <s:f>IFERROR(H36/H33,0)</s:f>
        <s:v>0.0034111357480794435</s:v>
      </s:c>
      <s:c r="I38" s="44">
        <s:f>IFERROR(I36/I33,0)</s:f>
        <s:v>0.0034111357480794435</s:v>
      </s:c>
      <s:c r="J38" s="44">
        <s:f>IFERROR(J36/J33,0)</s:f>
        <s:v>0.0034111357480794435</s:v>
      </s:c>
      <s:c r="K38" s="44">
        <s:f>IFERROR(K36/K33,0)</s:f>
        <s:v>0.0034111357480794435</s:v>
      </s:c>
      <s:c r="L38" s="44">
        <s:f>IFERROR(L36/L33,0)</s:f>
        <s:v>0.0034111357480794435</s:v>
      </s:c>
      <s:c r="M38" s="44">
        <s:f>IFERROR(M36/M33,0)</s:f>
        <s:v>0.0034111357480794435</s:v>
      </s:c>
      <s:c r="N38" s="45">
        <s:f>IFERROR(N36/N33,0)</s:f>
        <s:v>0.0034111357480794448</s:v>
      </s:c>
    </s:row>
    <s:row r="40">
      <s:c r="A40" s="3" t="inlineStr">
        <s:is>
          <s:t>Тир 🌲 Лес — ВВ/мес ≥ 35 000 ₽</s:t>
        </s:is>
      </s:c>
    </s:row>
    <s:row r="41">
      <s:c r="A41" s="21" t="inlineStr">
        <s:is>
          <s:t>Показатель</s:t>
        </s:is>
      </s:c>
      <s:c r="B41" s="21" t="inlineStr">
        <s:is>
          <s:t>2026-01</s:t>
        </s:is>
      </s:c>
      <s:c r="C41" s="21" t="inlineStr">
        <s:is>
          <s:t>2026-02</s:t>
        </s:is>
      </s:c>
      <s:c r="D41" s="21" t="inlineStr">
        <s:is>
          <s:t>2026-03</s:t>
        </s:is>
      </s:c>
      <s:c r="E41" s="21" t="inlineStr">
        <s:is>
          <s:t>2026-04</s:t>
        </s:is>
      </s:c>
      <s:c r="F41" s="21" t="inlineStr">
        <s:is>
          <s:t>2026-05</s:t>
        </s:is>
      </s:c>
      <s:c r="G41" s="21" t="inlineStr">
        <s:is>
          <s:t>2026-06</s:t>
        </s:is>
      </s:c>
      <s:c r="H41" s="21" t="inlineStr">
        <s:is>
          <s:t>2026-07</s:t>
        </s:is>
      </s:c>
      <s:c r="I41" s="21" t="inlineStr">
        <s:is>
          <s:t>2026-08</s:t>
        </s:is>
      </s:c>
      <s:c r="J41" s="21" t="inlineStr">
        <s:is>
          <s:t>2026-09</s:t>
        </s:is>
      </s:c>
      <s:c r="K41" s="21" t="inlineStr">
        <s:is>
          <s:t>2026-10</s:t>
        </s:is>
      </s:c>
      <s:c r="L41" s="21" t="inlineStr">
        <s:is>
          <s:t>2026-11</s:t>
        </s:is>
      </s:c>
      <s:c r="M41" s="21" t="inlineStr">
        <s:is>
          <s:t>2026-12</s:t>
        </s:is>
      </s:c>
      <s:c r="N41" s="21" t="inlineStr">
        <s:is>
          <s:t>2026 итого</s:t>
        </s:is>
      </s:c>
    </s:row>
    <s:row r="42">
      <s:c r="A42" s="6" t="inlineStr">
        <s:is>
          <s:t>Юзеров в тире</s:t>
        </s:is>
      </s:c>
      <s:c r="B42" s="36">
        <s:f>Выручка_вход!F6</s:f>
        <s:v>715</s:v>
      </s:c>
      <s:c r="C42" s="36">
        <s:f>Выручка_вход!F7</s:f>
        <s:v>715</s:v>
      </s:c>
      <s:c r="D42" s="36">
        <s:f>Выручка_вход!F8</s:f>
        <s:v>715</s:v>
      </s:c>
      <s:c r="E42" s="36">
        <s:f>Выручка_вход!F9</s:f>
        <s:v>715</s:v>
      </s:c>
      <s:c r="F42" s="36">
        <s:f>Выручка_вход!F10</s:f>
        <s:v>715</s:v>
      </s:c>
      <s:c r="G42" s="36">
        <s:f>Выручка_вход!F11</s:f>
        <s:v>715</s:v>
      </s:c>
      <s:c r="H42" s="36">
        <s:f>Выручка_вход!F12</s:f>
        <s:v>715</s:v>
      </s:c>
      <s:c r="I42" s="36">
        <s:f>Выручка_вход!F13</s:f>
        <s:v>715</s:v>
      </s:c>
      <s:c r="J42" s="36">
        <s:f>Выручка_вход!F14</s:f>
        <s:v>715</s:v>
      </s:c>
      <s:c r="K42" s="36">
        <s:f>Выручка_вход!F15</s:f>
        <s:v>715</s:v>
      </s:c>
      <s:c r="L42" s="36">
        <s:f>Выручка_вход!F16</s:f>
        <s:v>715</s:v>
      </s:c>
      <s:c r="M42" s="36">
        <s:f>Выручка_вход!F17</s:f>
        <s:v>715</s:v>
      </s:c>
      <s:c r="N42" s="28">
        <s:f>AVERAGE(B42:M42)</s:f>
        <s:v>715.0</s:v>
      </s:c>
    </s:row>
    <s:row r="43">
      <s:c r="A43" s="6" t="inlineStr">
        <s:is>
          <s:t>Индекс месяца (эмиссия)</s:t>
        </s:is>
      </s:c>
      <s:c r="B43" s="26">
        <s:f>Допущения!B$34</s:f>
        <s:v>1</s:v>
      </s:c>
      <s:c r="C43" s="26">
        <s:f>Допущения!C$34</s:f>
        <s:v>1</s:v>
      </s:c>
      <s:c r="D43" s="26">
        <s:f>Допущения!D$34</s:f>
        <s:v>1</s:v>
      </s:c>
      <s:c r="E43" s="26">
        <s:f>Допущения!E$34</s:f>
        <s:v>1</s:v>
      </s:c>
      <s:c r="F43" s="26">
        <s:f>Допущения!F$34</s:f>
        <s:v>1</s:v>
      </s:c>
      <s:c r="G43" s="26">
        <s:f>Допущения!G$34</s:f>
        <s:v>1</s:v>
      </s:c>
      <s:c r="H43" s="26">
        <s:f>Допущения!H$34</s:f>
        <s:v>1</s:v>
      </s:c>
      <s:c r="I43" s="26">
        <s:f>Допущения!I$34</s:f>
        <s:v>1</s:v>
      </s:c>
      <s:c r="J43" s="26">
        <s:f>Допущения!J$34</s:f>
        <s:v>1</s:v>
      </s:c>
      <s:c r="K43" s="26">
        <s:f>Допущения!K$34</s:f>
        <s:v>1</s:v>
      </s:c>
      <s:c r="L43" s="26">
        <s:f>Допущения!L$34</s:f>
        <s:v>1</s:v>
      </s:c>
      <s:c r="M43" s="26">
        <s:f>Допущения!M$34</s:f>
        <s:v>1</s:v>
      </s:c>
      <s:c r="N43" s="31">
        <s:f>AVERAGE(B43:M43)</s:f>
        <s:v>1.0</s:v>
      </s:c>
    </s:row>
    <s:row r="44">
      <s:c r="A44" s="6" t="inlineStr">
        <s:is>
          <s:t>ДОХОД: валовая выручка, ₽</s:t>
        </s:is>
      </s:c>
      <s:c r="B44" s="25">
        <s:f>B42*Выручка_вход!J6</s:f>
        <s:v>38485590.0</s:v>
      </s:c>
      <s:c r="C44" s="25">
        <s:f>C42*Выручка_вход!J7</s:f>
        <s:v>38485590.0</s:v>
      </s:c>
      <s:c r="D44" s="25">
        <s:f>D42*Выручка_вход!J8</s:f>
        <s:v>38485590.0</s:v>
      </s:c>
      <s:c r="E44" s="25">
        <s:f>E42*Выручка_вход!J9</s:f>
        <s:v>38485590.0</s:v>
      </s:c>
      <s:c r="F44" s="25">
        <s:f>F42*Выручка_вход!J10</s:f>
        <s:v>38485590.0</s:v>
      </s:c>
      <s:c r="G44" s="25">
        <s:f>G42*Выручка_вход!J11</s:f>
        <s:v>38485590.0</s:v>
      </s:c>
      <s:c r="H44" s="25">
        <s:f>H42*Выручка_вход!J12</s:f>
        <s:v>38485590.0</s:v>
      </s:c>
      <s:c r="I44" s="25">
        <s:f>I42*Выручка_вход!J13</s:f>
        <s:v>38485590.0</s:v>
      </s:c>
      <s:c r="J44" s="25">
        <s:f>J42*Выручка_вход!J14</s:f>
        <s:v>38485590.0</s:v>
      </s:c>
      <s:c r="K44" s="25">
        <s:f>K42*Выручка_вход!J15</s:f>
        <s:v>38485590.0</s:v>
      </s:c>
      <s:c r="L44" s="25">
        <s:f>L42*Выручка_вход!J16</s:f>
        <s:v>38485590.0</s:v>
      </s:c>
      <s:c r="M44" s="25">
        <s:f>M42*Выручка_вход!J17</s:f>
        <s:v>38485590.0</s:v>
      </s:c>
      <s:c r="N44" s="29">
        <s:f>SUM(B44:M44)</s:f>
        <s:v>461827080.0</s:v>
      </s:c>
    </s:row>
    <s:row r="45">
      <s:c r="A45" s="6" t="inlineStr">
        <s:is>
          <s:t>ДОХОД: грязная маржа, ₽</s:t>
        </s:is>
      </s:c>
      <s:c r="B45" s="25">
        <s:f>B44*Допущения!$B$14</s:f>
        <s:v>11545677.0</s:v>
      </s:c>
      <s:c r="C45" s="25">
        <s:f>C44*Допущения!$B$14</s:f>
        <s:v>11545677.0</s:v>
      </s:c>
      <s:c r="D45" s="25">
        <s:f>D44*Допущения!$B$14</s:f>
        <s:v>11545677.0</s:v>
      </s:c>
      <s:c r="E45" s="25">
        <s:f>E44*Допущения!$B$14</s:f>
        <s:v>11545677.0</s:v>
      </s:c>
      <s:c r="F45" s="25">
        <s:f>F44*Допущения!$B$14</s:f>
        <s:v>11545677.0</s:v>
      </s:c>
      <s:c r="G45" s="25">
        <s:f>G44*Допущения!$B$14</s:f>
        <s:v>11545677.0</s:v>
      </s:c>
      <s:c r="H45" s="25">
        <s:f>H44*Допущения!$B$14</s:f>
        <s:v>11545677.0</s:v>
      </s:c>
      <s:c r="I45" s="25">
        <s:f>I44*Допущения!$B$14</s:f>
        <s:v>11545677.0</s:v>
      </s:c>
      <s:c r="J45" s="25">
        <s:f>J44*Допущения!$B$14</s:f>
        <s:v>11545677.0</s:v>
      </s:c>
      <s:c r="K45" s="25">
        <s:f>K44*Допущения!$B$14</s:f>
        <s:v>11545677.0</s:v>
      </s:c>
      <s:c r="L45" s="25">
        <s:f>L44*Допущения!$B$14</s:f>
        <s:v>11545677.0</s:v>
      </s:c>
      <s:c r="M45" s="25">
        <s:f>M44*Допущения!$B$14</s:f>
        <s:v>11545677.0</s:v>
      </s:c>
      <s:c r="N45" s="29">
        <s:f>SUM(B45:M45)</s:f>
        <s:v>138548124.0</s:v>
      </s:c>
    </s:row>
    <s:row r="46">
      <s:c r="A46" s="6" t="inlineStr">
        <s:is>
          <s:t>РАСХОД: эко-бонус базовый, ₽</s:t>
        </s:is>
      </s:c>
      <s:c r="B46" s="25">
        <s:f>B42*Допущения!$C$28*B43</s:f>
        <s:v>11475.422533549046</s:v>
      </s:c>
      <s:c r="C46" s="25">
        <s:f>C42*Допущения!$C$28*C43</s:f>
        <s:v>11475.422533549046</s:v>
      </s:c>
      <s:c r="D46" s="25">
        <s:f>D42*Допущения!$C$28*D43</s:f>
        <s:v>11475.422533549046</s:v>
      </s:c>
      <s:c r="E46" s="25">
        <s:f>E42*Допущения!$C$28*E43</s:f>
        <s:v>11475.422533549046</s:v>
      </s:c>
      <s:c r="F46" s="25">
        <s:f>F42*Допущения!$C$28*F43</s:f>
        <s:v>11475.422533549046</s:v>
      </s:c>
      <s:c r="G46" s="25">
        <s:f>G42*Допущения!$C$28*G43</s:f>
        <s:v>11475.422533549046</s:v>
      </s:c>
      <s:c r="H46" s="25">
        <s:f>H42*Допущения!$C$28*H43</s:f>
        <s:v>11475.422533549046</s:v>
      </s:c>
      <s:c r="I46" s="25">
        <s:f>I42*Допущения!$C$28*I43</s:f>
        <s:v>11475.422533549046</s:v>
      </s:c>
      <s:c r="J46" s="25">
        <s:f>J42*Допущения!$C$28*J43</s:f>
        <s:v>11475.422533549046</s:v>
      </s:c>
      <s:c r="K46" s="25">
        <s:f>K42*Допущения!$C$28*K43</s:f>
        <s:v>11475.422533549046</s:v>
      </s:c>
      <s:c r="L46" s="25">
        <s:f>L42*Допущения!$C$28*L43</s:f>
        <s:v>11475.422533549046</s:v>
      </s:c>
      <s:c r="M46" s="25">
        <s:f>M42*Допущения!$C$28*M43</s:f>
        <s:v>11475.422533549046</s:v>
      </s:c>
      <s:c r="N46" s="29">
        <s:f>SUM(B46:M46)</s:f>
        <s:v>137705.07040258855</s:v>
      </s:c>
    </s:row>
    <s:row r="47">
      <s:c r="A47" s="6" t="inlineStr">
        <s:is>
          <s:t>РАСХОД: эко-бонус с механикой, ₽</s:t>
        </s:is>
      </s:c>
      <s:c r="B47" s="25">
        <s:f>B46*Допущения!$D$9</s:f>
        <s:v>32704.95422061478</s:v>
      </s:c>
      <s:c r="C47" s="25">
        <s:f>C46*Допущения!$D$9</s:f>
        <s:v>32704.95422061478</s:v>
      </s:c>
      <s:c r="D47" s="25">
        <s:f>D46*Допущения!$D$9</s:f>
        <s:v>32704.95422061478</s:v>
      </s:c>
      <s:c r="E47" s="25">
        <s:f>E46*Допущения!$D$9</s:f>
        <s:v>32704.95422061478</s:v>
      </s:c>
      <s:c r="F47" s="25">
        <s:f>F46*Допущения!$D$9</s:f>
        <s:v>32704.95422061478</s:v>
      </s:c>
      <s:c r="G47" s="25">
        <s:f>G46*Допущения!$D$9</s:f>
        <s:v>32704.95422061478</s:v>
      </s:c>
      <s:c r="H47" s="25">
        <s:f>H46*Допущения!$D$9</s:f>
        <s:v>32704.95422061478</s:v>
      </s:c>
      <s:c r="I47" s="25">
        <s:f>I46*Допущения!$D$9</s:f>
        <s:v>32704.95422061478</s:v>
      </s:c>
      <s:c r="J47" s="25">
        <s:f>J46*Допущения!$D$9</s:f>
        <s:v>32704.95422061478</s:v>
      </s:c>
      <s:c r="K47" s="25">
        <s:f>K46*Допущения!$D$9</s:f>
        <s:v>32704.95422061478</s:v>
      </s:c>
      <s:c r="L47" s="25">
        <s:f>L46*Допущения!$D$9</s:f>
        <s:v>32704.95422061478</s:v>
      </s:c>
      <s:c r="M47" s="25">
        <s:f>M46*Допущения!$D$9</s:f>
        <s:v>32704.95422061478</s:v>
      </s:c>
      <s:c r="N47" s="29">
        <s:f>SUM(B47:M47)</s:f>
        <s:v>392459.45064737747</s:v>
      </s:c>
    </s:row>
    <s:row r="48">
      <s:c r="A48" s="6" t="inlineStr">
        <s:is>
          <s:t>РАСХОД: доплата от механики, ₽</s:t>
        </s:is>
      </s:c>
      <s:c r="B48" s="25">
        <s:f>B47-B46</s:f>
        <s:v>21229.531687065733</s:v>
      </s:c>
      <s:c r="C48" s="25">
        <s:f>C47-C46</s:f>
        <s:v>21229.531687065733</s:v>
      </s:c>
      <s:c r="D48" s="25">
        <s:f>D47-D46</s:f>
        <s:v>21229.531687065733</s:v>
      </s:c>
      <s:c r="E48" s="25">
        <s:f>E47-E46</s:f>
        <s:v>21229.531687065733</s:v>
      </s:c>
      <s:c r="F48" s="25">
        <s:f>F47-F46</s:f>
        <s:v>21229.531687065733</s:v>
      </s:c>
      <s:c r="G48" s="25">
        <s:f>G47-G46</s:f>
        <s:v>21229.531687065733</s:v>
      </s:c>
      <s:c r="H48" s="25">
        <s:f>H47-H46</s:f>
        <s:v>21229.531687065733</s:v>
      </s:c>
      <s:c r="I48" s="25">
        <s:f>I47-I46</s:f>
        <s:v>21229.531687065733</s:v>
      </s:c>
      <s:c r="J48" s="25">
        <s:f>J47-J46</s:f>
        <s:v>21229.531687065733</s:v>
      </s:c>
      <s:c r="K48" s="25">
        <s:f>K47-K46</s:f>
        <s:v>21229.531687065733</s:v>
      </s:c>
      <s:c r="L48" s="25">
        <s:f>L47-L46</s:f>
        <s:v>21229.531687065733</s:v>
      </s:c>
      <s:c r="M48" s="25">
        <s:f>M47-M46</s:f>
        <s:v>21229.531687065733</s:v>
      </s:c>
      <s:c r="N48" s="29">
        <s:f>SUM(B48:M48)</s:f>
        <s:v>254754.38024478877</s:v>
      </s:c>
    </s:row>
    <s:row r="49">
      <s:c r="A49" s="27" t="inlineStr">
        <s:is>
          <s:t>ВКЛАД: маржа − бонус с механикой, ₽</s:t>
        </s:is>
      </s:c>
      <s:c r="B49" s="29">
        <s:f>B45-B47</s:f>
        <s:v>11512972.045779385</s:v>
      </s:c>
      <s:c r="C49" s="29">
        <s:f>C45-C47</s:f>
        <s:v>11512972.045779385</s:v>
      </s:c>
      <s:c r="D49" s="29">
        <s:f>D45-D47</s:f>
        <s:v>11512972.045779385</s:v>
      </s:c>
      <s:c r="E49" s="29">
        <s:f>E45-E47</s:f>
        <s:v>11512972.045779385</s:v>
      </s:c>
      <s:c r="F49" s="29">
        <s:f>F45-F47</s:f>
        <s:v>11512972.045779385</s:v>
      </s:c>
      <s:c r="G49" s="29">
        <s:f>G45-G47</s:f>
        <s:v>11512972.045779385</s:v>
      </s:c>
      <s:c r="H49" s="29">
        <s:f>H45-H47</s:f>
        <s:v>11512972.045779385</s:v>
      </s:c>
      <s:c r="I49" s="29">
        <s:f>I45-I47</s:f>
        <s:v>11512972.045779385</s:v>
      </s:c>
      <s:c r="J49" s="29">
        <s:f>J45-J47</s:f>
        <s:v>11512972.045779385</s:v>
      </s:c>
      <s:c r="K49" s="29">
        <s:f>K45-K47</s:f>
        <s:v>11512972.045779385</s:v>
      </s:c>
      <s:c r="L49" s="29">
        <s:f>L45-L47</s:f>
        <s:v>11512972.045779385</s:v>
      </s:c>
      <s:c r="M49" s="29">
        <s:f>M45-M47</s:f>
        <s:v>11512972.045779385</s:v>
      </s:c>
      <s:c r="N49" s="29">
        <s:f>SUM(B49:M49)</s:f>
        <s:v>138155664.5493526</s:v>
      </s:c>
    </s:row>
    <s:row r="50">
      <s:c r="A50" s="6" t="inlineStr">
        <s:is>
          <s:t>Доплата, % от грязной маржи</s:t>
        </s:is>
      </s:c>
      <s:c r="B50" s="44">
        <s:f>IFERROR(B48/B45,0)</s:f>
        <s:v>0.0018387429067230733</s:v>
      </s:c>
      <s:c r="C50" s="44">
        <s:f>IFERROR(C48/C45,0)</s:f>
        <s:v>0.0018387429067230733</s:v>
      </s:c>
      <s:c r="D50" s="44">
        <s:f>IFERROR(D48/D45,0)</s:f>
        <s:v>0.0018387429067230733</s:v>
      </s:c>
      <s:c r="E50" s="44">
        <s:f>IFERROR(E48/E45,0)</s:f>
        <s:v>0.0018387429067230733</s:v>
      </s:c>
      <s:c r="F50" s="44">
        <s:f>IFERROR(F48/F45,0)</s:f>
        <s:v>0.0018387429067230733</s:v>
      </s:c>
      <s:c r="G50" s="44">
        <s:f>IFERROR(G48/G45,0)</s:f>
        <s:v>0.0018387429067230733</s:v>
      </s:c>
      <s:c r="H50" s="44">
        <s:f>IFERROR(H48/H45,0)</s:f>
        <s:v>0.0018387429067230733</s:v>
      </s:c>
      <s:c r="I50" s="44">
        <s:f>IFERROR(I48/I45,0)</s:f>
        <s:v>0.0018387429067230733</s:v>
      </s:c>
      <s:c r="J50" s="44">
        <s:f>IFERROR(J48/J45,0)</s:f>
        <s:v>0.0018387429067230733</s:v>
      </s:c>
      <s:c r="K50" s="44">
        <s:f>IFERROR(K48/K45,0)</s:f>
        <s:v>0.0018387429067230733</s:v>
      </s:c>
      <s:c r="L50" s="44">
        <s:f>IFERROR(L48/L45,0)</s:f>
        <s:v>0.0018387429067230733</s:v>
      </s:c>
      <s:c r="M50" s="44">
        <s:f>IFERROR(M48/M45,0)</s:f>
        <s:v>0.0018387429067230733</s:v>
      </s:c>
      <s:c r="N50" s="45">
        <s:f>IFERROR(N48/N45,0)</s:f>
        <s:v>0.0018387429067230731</s:v>
      </s:c>
    </s:row>
    <s:row r="52">
      <s:c r="A52" s="3" t="inlineStr">
        <s:is>
          <s:t>ИТОГО по когорте (все тиры)</s:t>
        </s:is>
      </s:c>
    </s:row>
    <s:row r="53">
      <s:c r="A53" s="21" t="inlineStr">
        <s:is>
          <s:t>Показатель</s:t>
        </s:is>
      </s:c>
      <s:c r="B53" s="21" t="inlineStr">
        <s:is>
          <s:t>2026-01</s:t>
        </s:is>
      </s:c>
      <s:c r="C53" s="21" t="inlineStr">
        <s:is>
          <s:t>2026-02</s:t>
        </s:is>
      </s:c>
      <s:c r="D53" s="21" t="inlineStr">
        <s:is>
          <s:t>2026-03</s:t>
        </s:is>
      </s:c>
      <s:c r="E53" s="21" t="inlineStr">
        <s:is>
          <s:t>2026-04</s:t>
        </s:is>
      </s:c>
      <s:c r="F53" s="21" t="inlineStr">
        <s:is>
          <s:t>2026-05</s:t>
        </s:is>
      </s:c>
      <s:c r="G53" s="21" t="inlineStr">
        <s:is>
          <s:t>2026-06</s:t>
        </s:is>
      </s:c>
      <s:c r="H53" s="21" t="inlineStr">
        <s:is>
          <s:t>2026-07</s:t>
        </s:is>
      </s:c>
      <s:c r="I53" s="21" t="inlineStr">
        <s:is>
          <s:t>2026-08</s:t>
        </s:is>
      </s:c>
      <s:c r="J53" s="21" t="inlineStr">
        <s:is>
          <s:t>2026-09</s:t>
        </s:is>
      </s:c>
      <s:c r="K53" s="21" t="inlineStr">
        <s:is>
          <s:t>2026-10</s:t>
        </s:is>
      </s:c>
      <s:c r="L53" s="21" t="inlineStr">
        <s:is>
          <s:t>2026-11</s:t>
        </s:is>
      </s:c>
      <s:c r="M53" s="21" t="inlineStr">
        <s:is>
          <s:t>2026-12</s:t>
        </s:is>
      </s:c>
      <s:c r="N53" s="21" t="inlineStr">
        <s:is>
          <s:t>2026 итого</s:t>
        </s:is>
      </s:c>
    </s:row>
    <s:row r="54">
      <s:c r="A54" s="6" t="inlineStr">
        <s:is>
          <s:t>Юзеров в тире</s:t>
        </s:is>
      </s:c>
      <s:c r="B54" s="36">
        <s:f>B6+B18+B30+B42</s:f>
        <s:v>248950.0</s:v>
      </s:c>
      <s:c r="C54" s="36">
        <s:f>C6+C18+C30+C42</s:f>
        <s:v>248950.0</s:v>
      </s:c>
      <s:c r="D54" s="36">
        <s:f>D6+D18+D30+D42</s:f>
        <s:v>248950.0</s:v>
      </s:c>
      <s:c r="E54" s="36">
        <s:f>E6+E18+E30+E42</s:f>
        <s:v>248950.0</s:v>
      </s:c>
      <s:c r="F54" s="36">
        <s:f>F6+F18+F30+F42</s:f>
        <s:v>248950.0</s:v>
      </s:c>
      <s:c r="G54" s="36">
        <s:f>G6+G18+G30+G42</s:f>
        <s:v>248950.0</s:v>
      </s:c>
      <s:c r="H54" s="36">
        <s:f>H6+H18+H30+H42</s:f>
        <s:v>248950.0</s:v>
      </s:c>
      <s:c r="I54" s="36">
        <s:f>I6+I18+I30+I42</s:f>
        <s:v>248950.0</s:v>
      </s:c>
      <s:c r="J54" s="36">
        <s:f>J6+J18+J30+J42</s:f>
        <s:v>248950.0</s:v>
      </s:c>
      <s:c r="K54" s="36">
        <s:f>K6+K18+K30+K42</s:f>
        <s:v>248950.0</s:v>
      </s:c>
      <s:c r="L54" s="36">
        <s:f>L6+L18+L30+L42</s:f>
        <s:v>248950.0</s:v>
      </s:c>
      <s:c r="M54" s="36">
        <s:f>M6+M18+M30+M42</s:f>
        <s:v>248950.0</s:v>
      </s:c>
      <s:c r="N54" s="28">
        <s:f>AVERAGE(B54:M54)</s:f>
        <s:v>248950.0</s:v>
      </s:c>
    </s:row>
    <s:row r="55">
      <s:c r="A55" s="27" t="inlineStr">
        <s:is>
          <s:t>ДОХОД: валовая выручка, ₽</s:t>
        </s:is>
      </s:c>
      <s:c r="B55" s="29">
        <s:f>B8+B20+B32+B44</s:f>
        <s:v>650691499.0</s:v>
      </s:c>
      <s:c r="C55" s="29">
        <s:f>C8+C20+C32+C44</s:f>
        <s:v>650691499.0</s:v>
      </s:c>
      <s:c r="D55" s="29">
        <s:f>D8+D20+D32+D44</s:f>
        <s:v>650691499.0</s:v>
      </s:c>
      <s:c r="E55" s="29">
        <s:f>E8+E20+E32+E44</s:f>
        <s:v>650691499.0</s:v>
      </s:c>
      <s:c r="F55" s="29">
        <s:f>F8+F20+F32+F44</s:f>
        <s:v>650691499.0</s:v>
      </s:c>
      <s:c r="G55" s="29">
        <s:f>G8+G20+G32+G44</s:f>
        <s:v>650691499.0</s:v>
      </s:c>
      <s:c r="H55" s="29">
        <s:f>H8+H20+H32+H44</s:f>
        <s:v>650691499.0</s:v>
      </s:c>
      <s:c r="I55" s="29">
        <s:f>I8+I20+I32+I44</s:f>
        <s:v>650691499.0</s:v>
      </s:c>
      <s:c r="J55" s="29">
        <s:f>J8+J20+J32+J44</s:f>
        <s:v>650691499.0</s:v>
      </s:c>
      <s:c r="K55" s="29">
        <s:f>K8+K20+K32+K44</s:f>
        <s:v>650691499.0</s:v>
      </s:c>
      <s:c r="L55" s="29">
        <s:f>L8+L20+L32+L44</s:f>
        <s:v>650691499.0</s:v>
      </s:c>
      <s:c r="M55" s="29">
        <s:f>M8+M20+M32+M44</s:f>
        <s:v>650691499.0</s:v>
      </s:c>
      <s:c r="N55" s="29">
        <s:f>SUM(B55:M55)</s:f>
        <s:v>7808297988.0</s:v>
      </s:c>
    </s:row>
    <s:row r="56">
      <s:c r="A56" s="27" t="inlineStr">
        <s:is>
          <s:t>ДОХОД: грязная маржа, ₽</s:t>
        </s:is>
      </s:c>
      <s:c r="B56" s="29">
        <s:f>B9+B21+B33+B45</s:f>
        <s:v>195207449.70000002</s:v>
      </s:c>
      <s:c r="C56" s="29">
        <s:f>C9+C21+C33+C45</s:f>
        <s:v>195207449.70000002</s:v>
      </s:c>
      <s:c r="D56" s="29">
        <s:f>D9+D21+D33+D45</s:f>
        <s:v>195207449.70000002</s:v>
      </s:c>
      <s:c r="E56" s="29">
        <s:f>E9+E21+E33+E45</s:f>
        <s:v>195207449.70000002</s:v>
      </s:c>
      <s:c r="F56" s="29">
        <s:f>F9+F21+F33+F45</s:f>
        <s:v>195207449.70000002</s:v>
      </s:c>
      <s:c r="G56" s="29">
        <s:f>G9+G21+G33+G45</s:f>
        <s:v>195207449.70000002</s:v>
      </s:c>
      <s:c r="H56" s="29">
        <s:f>H9+H21+H33+H45</s:f>
        <s:v>195207449.70000002</s:v>
      </s:c>
      <s:c r="I56" s="29">
        <s:f>I9+I21+I33+I45</s:f>
        <s:v>195207449.70000002</s:v>
      </s:c>
      <s:c r="J56" s="29">
        <s:f>J9+J21+J33+J45</s:f>
        <s:v>195207449.70000002</s:v>
      </s:c>
      <s:c r="K56" s="29">
        <s:f>K9+K21+K33+K45</s:f>
        <s:v>195207449.70000002</s:v>
      </s:c>
      <s:c r="L56" s="29">
        <s:f>L9+L21+L33+L45</s:f>
        <s:v>195207449.70000002</s:v>
      </s:c>
      <s:c r="M56" s="29">
        <s:f>M9+M21+M33+M45</s:f>
        <s:v>195207449.70000002</s:v>
      </s:c>
      <s:c r="N56" s="29">
        <s:f>SUM(B56:M56)</s:f>
        <s:v>2342489396.4</s:v>
      </s:c>
    </s:row>
    <s:row r="57">
      <s:c r="A57" s="27" t="inlineStr">
        <s:is>
          <s:t>РАСХОД: эко-бонус базовый, ₽</s:t>
        </s:is>
      </s:c>
      <s:c r="B57" s="29">
        <s:f>B10+B22+B34+B46</s:f>
        <s:v>3995533.4821357136</s:v>
      </s:c>
      <s:c r="C57" s="29">
        <s:f>C10+C22+C34+C46</s:f>
        <s:v>3995533.4821357136</s:v>
      </s:c>
      <s:c r="D57" s="29">
        <s:f>D10+D22+D34+D46</s:f>
        <s:v>3995533.4821357136</s:v>
      </s:c>
      <s:c r="E57" s="29">
        <s:f>E10+E22+E34+E46</s:f>
        <s:v>3995533.4821357136</s:v>
      </s:c>
      <s:c r="F57" s="29">
        <s:f>F10+F22+F34+F46</s:f>
        <s:v>3995533.4821357136</s:v>
      </s:c>
      <s:c r="G57" s="29">
        <s:f>G10+G22+G34+G46</s:f>
        <s:v>3995533.4821357136</s:v>
      </s:c>
      <s:c r="H57" s="29">
        <s:f>H10+H22+H34+H46</s:f>
        <s:v>3995533.4821357136</s:v>
      </s:c>
      <s:c r="I57" s="29">
        <s:f>I10+I22+I34+I46</s:f>
        <s:v>3995533.4821357136</s:v>
      </s:c>
      <s:c r="J57" s="29">
        <s:f>J10+J22+J34+J46</s:f>
        <s:v>3995533.4821357136</s:v>
      </s:c>
      <s:c r="K57" s="29">
        <s:f>K10+K22+K34+K46</s:f>
        <s:v>3995533.4821357136</s:v>
      </s:c>
      <s:c r="L57" s="29">
        <s:f>L10+L22+L34+L46</s:f>
        <s:v>3995533.4821357136</s:v>
      </s:c>
      <s:c r="M57" s="29">
        <s:f>M10+M22+M34+M46</s:f>
        <s:v>3995533.4821357136</s:v>
      </s:c>
      <s:c r="N57" s="29">
        <s:f>SUM(B57:M57)</s:f>
        <s:v>47946401.785628565</s:v>
      </s:c>
    </s:row>
    <s:row r="58">
      <s:c r="A58" s="27" t="inlineStr">
        <s:is>
          <s:t>РАСХОД: эко-бонус с механикой, ₽</s:t>
        </s:is>
      </s:c>
      <s:c r="B58" s="29">
        <s:f>B11+B23+B35+B47</s:f>
        <s:v>4475059.290728718</s:v>
      </s:c>
      <s:c r="C58" s="29">
        <s:f>C11+C23+C35+C47</s:f>
        <s:v>4475059.290728718</s:v>
      </s:c>
      <s:c r="D58" s="29">
        <s:f>D11+D23+D35+D47</s:f>
        <s:v>4475059.290728718</s:v>
      </s:c>
      <s:c r="E58" s="29">
        <s:f>E11+E23+E35+E47</s:f>
        <s:v>4475059.290728718</s:v>
      </s:c>
      <s:c r="F58" s="29">
        <s:f>F11+F23+F35+F47</s:f>
        <s:v>4475059.290728718</s:v>
      </s:c>
      <s:c r="G58" s="29">
        <s:f>G11+G23+G35+G47</s:f>
        <s:v>4475059.290728718</s:v>
      </s:c>
      <s:c r="H58" s="29">
        <s:f>H11+H23+H35+H47</s:f>
        <s:v>4475059.290728718</s:v>
      </s:c>
      <s:c r="I58" s="29">
        <s:f>I11+I23+I35+I47</s:f>
        <s:v>4475059.290728718</s:v>
      </s:c>
      <s:c r="J58" s="29">
        <s:f>J11+J23+J35+J47</s:f>
        <s:v>4475059.290728718</s:v>
      </s:c>
      <s:c r="K58" s="29">
        <s:f>K11+K23+K35+K47</s:f>
        <s:v>4475059.290728718</s:v>
      </s:c>
      <s:c r="L58" s="29">
        <s:f>L11+L23+L35+L47</s:f>
        <s:v>4475059.290728718</s:v>
      </s:c>
      <s:c r="M58" s="29">
        <s:f>M11+M23+M35+M47</s:f>
        <s:v>4475059.290728718</s:v>
      </s:c>
      <s:c r="N58" s="29">
        <s:f>SUM(B58:M58)</s:f>
        <s:v>53700711.48874462</s:v>
      </s:c>
    </s:row>
    <s:row r="59">
      <s:c r="A59" s="27" t="inlineStr">
        <s:is>
          <s:t>РАСХОД: доплата от механики, ₽</s:t>
        </s:is>
      </s:c>
      <s:c r="B59" s="29">
        <s:f>B12+B24+B36+B48</s:f>
        <s:v>479525.8085930045</s:v>
      </s:c>
      <s:c r="C59" s="29">
        <s:f>C12+C24+C36+C48</s:f>
        <s:v>479525.8085930045</s:v>
      </s:c>
      <s:c r="D59" s="29">
        <s:f>D12+D24+D36+D48</s:f>
        <s:v>479525.8085930045</s:v>
      </s:c>
      <s:c r="E59" s="29">
        <s:f>E12+E24+E36+E48</s:f>
        <s:v>479525.8085930045</s:v>
      </s:c>
      <s:c r="F59" s="29">
        <s:f>F12+F24+F36+F48</s:f>
        <s:v>479525.8085930045</s:v>
      </s:c>
      <s:c r="G59" s="29">
        <s:f>G12+G24+G36+G48</s:f>
        <s:v>479525.8085930045</s:v>
      </s:c>
      <s:c r="H59" s="29">
        <s:f>H12+H24+H36+H48</s:f>
        <s:v>479525.8085930045</s:v>
      </s:c>
      <s:c r="I59" s="29">
        <s:f>I12+I24+I36+I48</s:f>
        <s:v>479525.8085930045</s:v>
      </s:c>
      <s:c r="J59" s="29">
        <s:f>J12+J24+J36+J48</s:f>
        <s:v>479525.8085930045</s:v>
      </s:c>
      <s:c r="K59" s="29">
        <s:f>K12+K24+K36+K48</s:f>
        <s:v>479525.8085930045</s:v>
      </s:c>
      <s:c r="L59" s="29">
        <s:f>L12+L24+L36+L48</s:f>
        <s:v>479525.8085930045</s:v>
      </s:c>
      <s:c r="M59" s="29">
        <s:f>M12+M24+M36+M48</s:f>
        <s:v>479525.8085930045</s:v>
      </s:c>
      <s:c r="N59" s="29">
        <s:f>SUM(B59:M59)</s:f>
        <s:v>5754309.703116056</s:v>
      </s:c>
    </s:row>
    <s:row r="60">
      <s:c r="A60" s="27" t="inlineStr">
        <s:is>
          <s:t>ВКЛАД: маржа − бонус с механикой, ₽</s:t>
        </s:is>
      </s:c>
      <s:c r="B60" s="29">
        <s:f>B13+B25+B37+B49</s:f>
        <s:v>190732390.40927127</s:v>
      </s:c>
      <s:c r="C60" s="29">
        <s:f>C13+C25+C37+C49</s:f>
        <s:v>190732390.40927127</s:v>
      </s:c>
      <s:c r="D60" s="29">
        <s:f>D13+D25+D37+D49</s:f>
        <s:v>190732390.40927127</s:v>
      </s:c>
      <s:c r="E60" s="29">
        <s:f>E13+E25+E37+E49</s:f>
        <s:v>190732390.40927127</s:v>
      </s:c>
      <s:c r="F60" s="29">
        <s:f>F13+F25+F37+F49</s:f>
        <s:v>190732390.40927127</s:v>
      </s:c>
      <s:c r="G60" s="29">
        <s:f>G13+G25+G37+G49</s:f>
        <s:v>190732390.40927127</s:v>
      </s:c>
      <s:c r="H60" s="29">
        <s:f>H13+H25+H37+H49</s:f>
        <s:v>190732390.40927127</s:v>
      </s:c>
      <s:c r="I60" s="29">
        <s:f>I13+I25+I37+I49</s:f>
        <s:v>190732390.40927127</s:v>
      </s:c>
      <s:c r="J60" s="29">
        <s:f>J13+J25+J37+J49</s:f>
        <s:v>190732390.40927127</s:v>
      </s:c>
      <s:c r="K60" s="29">
        <s:f>K13+K25+K37+K49</s:f>
        <s:v>190732390.40927127</s:v>
      </s:c>
      <s:c r="L60" s="29">
        <s:f>L13+L25+L37+L49</s:f>
        <s:v>190732390.40927127</s:v>
      </s:c>
      <s:c r="M60" s="29">
        <s:f>M13+M25+M37+M49</s:f>
        <s:v>190732390.40927127</s:v>
      </s:c>
      <s:c r="N60" s="29">
        <s:f>SUM(B60:M60)</s:f>
        <s:v>2288788684.9112554</s:v>
      </s:c>
    </s:row>
    <s:row r="61">
      <s:c r="A61" s="6" t="inlineStr">
        <s:is>
          <s:t>Доплата, % от грязной маржи</s:t>
        </s:is>
      </s:c>
      <s:c r="B61" s="44">
        <s:f>IFERROR(B59/B56,0)</s:f>
        <s:v>0.0024564933834746185</s:v>
      </s:c>
      <s:c r="C61" s="44">
        <s:f>IFERROR(C59/C56,0)</s:f>
        <s:v>0.0024564933834746185</s:v>
      </s:c>
      <s:c r="D61" s="44">
        <s:f>IFERROR(D59/D56,0)</s:f>
        <s:v>0.0024564933834746185</s:v>
      </s:c>
      <s:c r="E61" s="44">
        <s:f>IFERROR(E59/E56,0)</s:f>
        <s:v>0.0024564933834746185</s:v>
      </s:c>
      <s:c r="F61" s="44">
        <s:f>IFERROR(F59/F56,0)</s:f>
        <s:v>0.0024564933834746185</s:v>
      </s:c>
      <s:c r="G61" s="44">
        <s:f>IFERROR(G59/G56,0)</s:f>
        <s:v>0.0024564933834746185</s:v>
      </s:c>
      <s:c r="H61" s="44">
        <s:f>IFERROR(H59/H56,0)</s:f>
        <s:v>0.0024564933834746185</s:v>
      </s:c>
      <s:c r="I61" s="44">
        <s:f>IFERROR(I59/I56,0)</s:f>
        <s:v>0.0024564933834746185</s:v>
      </s:c>
      <s:c r="J61" s="44">
        <s:f>IFERROR(J59/J56,0)</s:f>
        <s:v>0.0024564933834746185</s:v>
      </s:c>
      <s:c r="K61" s="44">
        <s:f>IFERROR(K59/K56,0)</s:f>
        <s:v>0.0024564933834746185</s:v>
      </s:c>
      <s:c r="L61" s="44">
        <s:f>IFERROR(L59/L56,0)</s:f>
        <s:v>0.0024564933834746185</s:v>
      </s:c>
      <s:c r="M61" s="44">
        <s:f>IFERROR(M59/M56,0)</s:f>
        <s:v>0.0024564933834746185</s:v>
      </s:c>
      <s:c r="N61" s="45">
        <s:f>IFERROR(N59/N56,0)</s:f>
        <s:v>0.0024564933834746194</s:v>
      </s:c>
    </s:row>
    <s:row r="63">
      <s:c r="A63" s="3" t="inlineStr">
        <s:is>
          <s:t>Ключевой вывод по расходной части</s:t>
        </s:is>
      </s:c>
    </s:row>
    <s:row r="64" ht="60" customHeight="1">
      <s:c r="A64" s="4" t="inlineStr">
        <s:is>
          <s:t>Строка «РАСХОД: доплата от механики» в блоке ИТОГО, столбец N — это «слепая» доплата за 2026 год: сколько мы платим сверх текущего просто за присвоение повышенных коэффициентов, без изменения поведения. В предыдущей версии модели она составляла 35,4 млн ₽/год, потому что тир присваивался по АСР-сегменту и 51 тыс. Амбассадоров попадали в Лес (×2,85), а 85 тыс. Средних — в Дерево (×2,15). По границам валовой выручки в Лес попадают единицы процентов базы, поэтому доплата на порядок меньше.</s:t>
        </s:is>
      </s:c>
    </s:row>
  </s:sheetData>
  <s:pageMargins left="0.75" right="0.75" top="1" bottom="1" header="0.5" footer="0.5"/>
</s:worksheet>
</file>

<file path=xl/worksheets/sheet7.xml><?xml version="1.0" encoding="utf-8"?>
<s:worksheet xmlns:s="http://schemas.openxmlformats.org/spreadsheetml/2006/main">
  <s:sheetPr>
    <s:outlinePr summaryBelow="1" summaryRight="1"/>
    <s:pageSetUpPr/>
  </s:sheetPr>
  <s:dimension ref="A1:E18"/>
  <s:sheetViews>
    <s:sheetView workbookViewId="0">
      <s:selection activeCell="A1" sqref="A1"/>
    </s:sheetView>
  </s:sheetViews>
  <s:sheetFormatPr baseColWidth="8" defaultRowHeight="15"/>
  <s:cols>
    <s:col width="44" customWidth="1" min="1" max="1"/>
    <s:col width="14" customWidth="1" min="2" max="2"/>
    <s:col width="18" customWidth="1" min="3" max="3"/>
    <s:col width="18" customWidth="1" min="4" max="4"/>
    <s:col width="18" customWidth="1" min="5" max="5"/>
  </s:cols>
  <s:sheetData>
    <s:row r="1">
      <s:c r="A1" s="1" t="inlineStr">
        <s:is>
          <s:t>Unit-экономика перехода между тирами</s:t>
        </s:is>
      </s:c>
    </s:row>
    <s:row r="2">
      <s:c r="A2" s="2" t="inlineStr">
        <s:is>
          <s:t>Сколько приносит один пользователь, поднявший валовую выручку до следующего тира. Всё — на одного мигранта в месяц.</s:t>
        </s:is>
      </s:c>
    </s:row>
    <s:row r="4" ht="30" customHeight="1">
      <s:c r="A4" s="5" t="inlineStr">
        <s:is>
          <s:t>Шаг перехода</s:t>
        </s:is>
      </s:c>
      <s:c r="B4" s="5" t="inlineStr">
        <s:is>
          <s:t>Ед.</s:t>
        </s:is>
      </s:c>
      <s:c r="C4" s="5" t="inlineStr">
        <s:is>
          <s:t>① Старт → Росток</s:t>
        </s:is>
      </s:c>
      <s:c r="D4" s="5" t="inlineStr">
        <s:is>
          <s:t>② Росток → Дерево</s:t>
        </s:is>
      </s:c>
      <s:c r="E4" s="5" t="inlineStr">
        <s:is>
          <s:t>③ Дерево → Лес</s:t>
        </s:is>
      </s:c>
    </s:row>
    <s:row r="5">
      <s:c r="A5" s="6" t="inlineStr">
        <s:is>
          <s:t>ВВ на юзера: исходный тир</s:t>
        </s:is>
      </s:c>
      <s:c r="B5" s="38" t="inlineStr">
        <s:is>
          <s:t>₽/юзер/мес</s:t>
        </s:is>
      </s:c>
      <s:c r="C5" s="42">
        <s:f>'Unit-экономика'!C$7</s:f>
        <s:v>1075.0</s:v>
      </s:c>
      <s:c r="D5" s="42">
        <s:f>'Unit-экономика'!D$7</s:f>
        <s:v>5501.0</s:v>
      </s:c>
      <s:c r="E5" s="42">
        <s:f>'Unit-экономика'!E$7</s:f>
        <s:v>18036.0</s:v>
      </s:c>
    </s:row>
    <s:row r="6">
      <s:c r="A6" s="6" t="inlineStr">
        <s:is>
          <s:t>ВВ на юзера: целевой тир</s:t>
        </s:is>
      </s:c>
      <s:c r="B6" s="38" t="inlineStr">
        <s:is>
          <s:t>₽/юзер/мес</s:t>
        </s:is>
      </s:c>
      <s:c r="C6" s="42">
        <s:f>'Unit-экономика'!D$7</s:f>
        <s:v>5501.0</s:v>
      </s:c>
      <s:c r="D6" s="42">
        <s:f>'Unit-экономика'!E$7</s:f>
        <s:v>18036.0</s:v>
      </s:c>
      <s:c r="E6" s="42">
        <s:f>'Unit-экономика'!F$7</s:f>
        <s:v>53826.0</s:v>
      </s:c>
    </s:row>
    <s:row r="7">
      <s:c r="A7" s="6" t="inlineStr">
        <s:is>
          <s:t>Δ ВВ (прирост выручки)</s:t>
        </s:is>
      </s:c>
      <s:c r="B7" s="38" t="inlineStr">
        <s:is>
          <s:t>₽/юзер/мес</s:t>
        </s:is>
      </s:c>
      <s:c r="C7" s="25">
        <s:f>C6-C5</s:f>
        <s:v>4426.0</s:v>
      </s:c>
      <s:c r="D7" s="25">
        <s:f>D6-D5</s:f>
        <s:v>12535.0</s:v>
      </s:c>
      <s:c r="E7" s="25">
        <s:f>E6-E5</s:f>
        <s:v>35790.0</s:v>
      </s:c>
    </s:row>
    <s:row r="8">
      <s:c r="A8" s="6" t="inlineStr">
        <s:is>
          <s:t>Δ грязная маржа (ДОХОД)</s:t>
        </s:is>
      </s:c>
      <s:c r="B8" s="38" t="inlineStr">
        <s:is>
          <s:t>₽/юзер/мес</s:t>
        </s:is>
      </s:c>
      <s:c r="C8" s="25">
        <s:f>C7*Допущения!$B$14</s:f>
        <s:v>1327.8</s:v>
      </s:c>
      <s:c r="D8" s="25">
        <s:f>D7*Допущения!$B$14</s:f>
        <s:v>3760.5</s:v>
      </s:c>
      <s:c r="E8" s="25">
        <s:f>E7*Допущения!$B$14</s:f>
        <s:v>10737.0</s:v>
      </s:c>
    </s:row>
    <s:row r="9">
      <s:c r="A9" s="6" t="inlineStr">
        <s:is>
          <s:t>Множитель: исходный тир</s:t>
        </s:is>
      </s:c>
      <s:c r="B9" s="38" t="inlineStr">
        <s:is>
          <s:t>×</s:t>
        </s:is>
      </s:c>
      <s:c r="C9" s="39">
        <s:f>Допущения!$D$6</s:f>
        <s:v>1</s:v>
      </s:c>
      <s:c r="D9" s="39">
        <s:f>Допущения!$D$7</s:f>
        <s:v>1.4</s:v>
      </s:c>
      <s:c r="E9" s="39">
        <s:f>Допущения!$D$8</s:f>
        <s:v>2.15</s:v>
      </s:c>
    </s:row>
    <s:row r="10">
      <s:c r="A10" s="6" t="inlineStr">
        <s:is>
          <s:t>Множитель: целевой тир</s:t>
        </s:is>
      </s:c>
      <s:c r="B10" s="38" t="inlineStr">
        <s:is>
          <s:t>×</s:t>
        </s:is>
      </s:c>
      <s:c r="C10" s="39">
        <s:f>Допущения!$D$7</s:f>
        <s:v>1.4</s:v>
      </s:c>
      <s:c r="D10" s="39">
        <s:f>Допущения!$D$8</s:f>
        <s:v>2.15</s:v>
      </s:c>
      <s:c r="E10" s="39">
        <s:f>Допущения!$D$9</s:f>
        <s:v>2.85</s:v>
      </s:c>
    </s:row>
    <s:row r="11">
      <s:c r="A11" s="6" t="inlineStr">
        <s:is>
          <s:t>Δ эко-бонус (РАСХОД)</s:t>
        </s:is>
      </s:c>
      <s:c r="B11" s="38" t="inlineStr">
        <s:is>
          <s:t>₽/юзер/мес</s:t>
        </s:is>
      </s:c>
      <s:c r="C11" s="20">
        <s:f>Допущения!$C$25*(C10-C9)</s:f>
        <s:v>6.419816801985479</s:v>
      </s:c>
      <s:c r="D11" s="20">
        <s:f>Допущения!$C$26*(D10-D9)</s:f>
        <s:v>12.037156503722777</s:v>
      </s:c>
      <s:c r="E11" s="20">
        <s:f>Допущения!$C$27*(E10-E9)</s:f>
        <s:v>11.234679403474594</s:v>
      </s:c>
    </s:row>
    <s:row r="12">
      <s:c r="A12" s="27" t="inlineStr">
        <s:is>
          <s:t>ЧИСТЫЙ ЭФФЕКТ на мигранта</s:t>
        </s:is>
      </s:c>
      <s:c r="B12" s="38" t="inlineStr">
        <s:is>
          <s:t>₽/юзер/мес</s:t>
        </s:is>
      </s:c>
      <s:c r="C12" s="29">
        <s:f>C8-C11</s:f>
        <s:v>1321.3801831980145</s:v>
      </s:c>
      <s:c r="D12" s="29">
        <s:f>D8-D11</s:f>
        <s:v>3748.4628434962774</s:v>
      </s:c>
      <s:c r="E12" s="29">
        <s:f>E8-E11</s:f>
        <s:v>10725.765320596525</s:v>
      </s:c>
    </s:row>
    <s:row r="13">
      <s:c r="A13" s="6" t="inlineStr">
        <s:is>
          <s:t>Δ бонус, % от Δ маржи</s:t>
        </s:is>
      </s:c>
      <s:c r="B13" s="38" t="inlineStr">
        <s:is>
          <s:t>%</s:t>
        </s:is>
      </s:c>
      <s:c r="C13" s="44">
        <s:f>IFERROR(C11/C8,0)</s:f>
        <s:v>0.004834927550825033</s:v>
      </s:c>
      <s:c r="D13" s="44">
        <s:f>IFERROR(D11/D8,0)</s:f>
        <s:v>0.003200945752884663</s:v>
      </s:c>
      <s:c r="E13" s="44">
        <s:f>IFERROR(E11/E8,0)</s:f>
        <s:v>0.0010463518118165776</s:v>
      </s:c>
    </s:row>
    <s:row r="14">
      <s:c r="A14" s="6" t="inlineStr">
        <s:is>
          <s:t>Пул-источник: юзеров в исходном тире</s:t>
        </s:is>
      </s:c>
      <s:c r="B14" s="38" t="inlineStr">
        <s:is>
          <s:t>чел</s:t>
        </s:is>
      </s:c>
      <s:c r="C14" s="41">
        <s:f>'Unit-экономика'!C$6</s:f>
        <s:v>189856.0</s:v>
      </s:c>
      <s:c r="D14" s="41">
        <s:f>'Unit-экономика'!D$6</s:f>
        <s:v>51441.0</s:v>
      </s:c>
      <s:c r="E14" s="41">
        <s:f>'Unit-экономика'!E$6</s:f>
        <s:v>6938.0</s:v>
      </s:c>
    </s:row>
    <s:row r="17">
      <s:c r="A17" s="3" t="inlineStr">
        <s:is>
          <s:t>Почему переход почти всегда выгоден</s:t>
        </s:is>
      </s:c>
    </s:row>
    <s:row r="18" ht="44" customHeight="1">
      <s:c r="A18" s="4" t="inlineStr">
        <s:is>
          <s:t>Δ маржа считается в рублях выручки (тысячи ₽), а Δ бонус — в рублях эко-начисления (единицы ₽), потому что база эко-бонуса ≈ 16 ₽/юзер/мес. Отсюда «Δ бонус, % от Δ маржи» — доли процента. Риск механики не в стоимости перехода, а в «слепой» доплате тем, кто уже в высоком тире и поведение не менял (лист «Тир_Период»).</s:t>
        </s:is>
      </s:c>
    </s:row>
  </s:sheetData>
  <s:pageMargins left="0.75" right="0.75" top="1" bottom="1" header="0.5" footer="0.5"/>
</s:worksheet>
</file>

<file path=xl/worksheets/sheet8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/>
  </s:sheetPr>
  <s:dimension ref="A1:E31"/>
  <s:sheetViews>
    <s:sheetView workbookViewId="0">
      <s:selection activeCell="A1" sqref="A1"/>
    </s:sheetView>
  </s:sheetViews>
  <s:sheetFormatPr baseColWidth="8" defaultRowHeight="15"/>
  <s:cols>
    <s:col width="46" customWidth="1" min="1" max="1"/>
    <s:col width="14" customWidth="1" min="2" max="2"/>
    <s:col width="18" customWidth="1" min="3" max="3"/>
    <s:col width="18" customWidth="1" min="4" max="4"/>
    <s:col width="18" customWidth="1" min="5" max="5"/>
  </s:cols>
  <s:sheetData>
    <s:row r="1">
      <s:c r="A1" s="1" t="inlineStr">
        <s:is>
          <s:t>Сценарии конверсии и порог безубыточности</s:t>
        </s:is>
      </s:c>
    </s:row>
    <s:row r="2">
      <s:c r="A2" s="2" t="inlineStr">
        <s:is>
          <s:t>Конверсия — доля пула исходного тира, переходящая в целевой тир за год.</s:t>
        </s:is>
      </s:c>
    </s:row>
    <s:row r="4" ht="30" customHeight="1">
      <s:c r="A4" s="5" t="inlineStr">
        <s:is>
          <s:t>Показатель</s:t>
        </s:is>
      </s:c>
      <s:c r="B4" s="5" t="inlineStr">
        <s:is>
          <s:t>Ед.</s:t>
        </s:is>
      </s:c>
      <s:c r="C4" s="5" t="inlineStr">
        <s:is>
          <s:t>Пессимистичный</s:t>
        </s:is>
      </s:c>
      <s:c r="D4" s="5" t="inlineStr">
        <s:is>
          <s:t>Базовый</s:t>
        </s:is>
      </s:c>
      <s:c r="E4" s="5" t="inlineStr">
        <s:is>
          <s:t>Оптимистичный</s:t>
        </s:is>
      </s:c>
    </s:row>
    <s:row r="5">
      <s:c r="A5" s="6" t="inlineStr">
        <s:is>
          <s:t>Конверсия шага ①</s:t>
        </s:is>
      </s:c>
      <s:c r="B5" s="38" t="inlineStr">
        <s:is>
          <s:t>% пула/год</s:t>
        </s:is>
      </s:c>
      <s:c r="C5" s="11" t="n">
        <s:v>0.05</s:v>
      </s:c>
      <s:c r="D5" s="11" t="n">
        <s:v>0.1</s:v>
      </s:c>
      <s:c r="E5" s="11" t="n">
        <s:v>0.2</s:v>
      </s:c>
    </s:row>
    <s:row r="6">
      <s:c r="A6" s="6" t="inlineStr">
        <s:is>
          <s:t>Конверсия шага ②</s:t>
        </s:is>
      </s:c>
      <s:c r="B6" s="38" t="inlineStr">
        <s:is>
          <s:t>% пула/год</s:t>
        </s:is>
      </s:c>
      <s:c r="C6" s="11" t="n">
        <s:v>0.05</s:v>
      </s:c>
      <s:c r="D6" s="11" t="n">
        <s:v>0.1</s:v>
      </s:c>
      <s:c r="E6" s="11" t="n">
        <s:v>0.2</s:v>
      </s:c>
    </s:row>
    <s:row r="7">
      <s:c r="A7" s="6" t="inlineStr">
        <s:is>
          <s:t>Конверсия шага ③</s:t>
        </s:is>
      </s:c>
      <s:c r="B7" s="38" t="inlineStr">
        <s:is>
          <s:t>% пула/год</s:t>
        </s:is>
      </s:c>
      <s:c r="C7" s="11" t="n">
        <s:v>0.03</s:v>
      </s:c>
      <s:c r="D7" s="11" t="n">
        <s:v>0.05</s:v>
      </s:c>
      <s:c r="E7" s="11" t="n">
        <s:v>0.1</s:v>
      </s:c>
    </s:row>
    <s:row r="9">
      <s:c r="A9" s="6" t="inlineStr">
        <s:is>
          <s:t>Мигрантов за год</s:t>
        </s:is>
      </s:c>
      <s:c r="B9" s="38" t="inlineStr">
        <s:is>
          <s:t>чел</s:t>
        </s:is>
      </s:c>
      <s:c r="C9" s="36">
        <s:f>Миграция!$C$14*C5+Миграция!$D$14*C6+Миграция!$E$14*C7</s:f>
        <s:v>12272.990000000002</s:v>
      </s:c>
      <s:c r="D9" s="36">
        <s:f>Миграция!$C$14*D5+Миграция!$D$14*D6+Миграция!$E$14*D7</s:f>
        <s:v>24476.600000000006</s:v>
      </s:c>
      <s:c r="E9" s="36">
        <s:f>Миграция!$C$14*E5+Миграция!$D$14*E6+Миграция!$E$14*E7</s:f>
        <s:v>48953.20000000001</s:v>
      </s:c>
    </s:row>
    <s:row r="10">
      <s:c r="A10" s="6" t="inlineStr">
        <s:is>
          <s:t>Месяцев работы мигранта в первый год</s:t>
        </s:is>
      </s:c>
      <s:c r="B10" s="38" t="inlineStr">
        <s:is>
          <s:t>мес</s:t>
        </s:is>
      </s:c>
      <s:c r="C10" s="46" t="n">
        <s:v>6</s:v>
      </s:c>
      <s:c r="D10" s="46" t="n">
        <s:v>6</s:v>
      </s:c>
      <s:c r="E10" s="46" t="n">
        <s:v>6</s:v>
      </s:c>
    </s:row>
    <s:row r="11">
      <s:c r="A11" s="27" t="inlineStr">
        <s:is>
          <s:t>ДОХОД: прирост грязной маржи за год</s:t>
        </s:is>
      </s:c>
      <s:c r="B11" s="38" t="inlineStr">
        <s:is>
          <s:t>₽/год</s:t>
        </s:is>
      </s:c>
      <s:c r="C11" s="29">
        <s:f>C10*(Миграция!$C$14*C5*Миграция!$C$8+Миграция!$D$14*C6*Миграция!$D$8+Миграция!$E$14*C7*Миграция!$E$8)</s:f>
        <s:v>147069198.27</s:v>
      </s:c>
      <s:c r="D11" s="29">
        <s:f>D10*(Миграция!$C$14*D5*Миграция!$C$8+Миграция!$D$14*D6*Миграция!$D$8+Миграция!$E$14*D7*Миграция!$E$8)</s:f>
        <s:v>289668798.18</s:v>
      </s:c>
      <s:c r="E11" s="29">
        <s:f>E10*(Миграция!$C$14*E5*Миграция!$C$8+Миграция!$D$14*E6*Миграция!$D$8+Миграция!$E$14*E7*Миграция!$E$8)</s:f>
        <s:v>579337596.36</s:v>
      </s:c>
    </s:row>
    <s:row r="12">
      <s:c r="A12" s="27" t="inlineStr">
        <s:is>
          <s:t>РАСХОД: бонусы мигрантов за год</s:t>
        </s:is>
      </s:c>
      <s:c r="B12" s="38" t="inlineStr">
        <s:is>
          <s:t>₽/год</s:t>
        </s:is>
      </s:c>
      <s:c r="C12" s="29">
        <s:f>C10*(Миграция!$C$14*C5*Миграция!$C$11+Миграция!$D$14*C6*Миграция!$D$11+Миграция!$E$14*C7*Миграция!$E$11)</s:f>
        <s:v>565443.5489659628</s:v>
      </s:c>
      <s:c r="D12" s="29">
        <s:f>D10*(Миграция!$C$14*D5*Миграция!$C$11+Миграция!$D$14*D6*Миграция!$D$11+Миграция!$E$14*D7*Миграция!$E$11)</s:f>
        <s:v>1126210.325589847</s:v>
      </s:c>
      <s:c r="E12" s="29">
        <s:f>E10*(Миграция!$C$14*E5*Миграция!$C$11+Миграция!$D$14*E6*Миграция!$D$11+Миграция!$E$14*E7*Миграция!$E$11)</s:f>
        <s:v>2252420.651179694</s:v>
      </s:c>
    </s:row>
    <s:row r="13">
      <s:c r="A13" s="27" t="inlineStr">
        <s:is>
          <s:t>РАСХОД: слепая доплата за год</s:t>
        </s:is>
      </s:c>
      <s:c r="B13" s="38" t="inlineStr">
        <s:is>
          <s:t>₽/год</s:t>
        </s:is>
      </s:c>
      <s:c r="C13" s="47">
        <s:f>Тир_Период!$N$59</s:f>
        <s:v>5754309.703116056</s:v>
      </s:c>
      <s:c r="D13" s="47">
        <s:f>Тир_Период!$N$59</s:f>
        <s:v>5754309.703116056</s:v>
      </s:c>
      <s:c r="E13" s="47">
        <s:f>Тир_Период!$N$59</s:f>
        <s:v>5754309.703116056</s:v>
      </s:c>
    </s:row>
    <s:row r="14">
      <s:c r="A14" s="27" t="inlineStr">
        <s:is>
          <s:t>ЧИСТЫЙ ЭФФЕКТ за год</s:t>
        </s:is>
      </s:c>
      <s:c r="B14" s="38" t="inlineStr">
        <s:is>
          <s:t>₽/год</s:t>
        </s:is>
      </s:c>
      <s:c r="C14" s="29">
        <s:f>C11-C12-C13</s:f>
        <s:v>140749445.017918</s:v>
      </s:c>
      <s:c r="D14" s="29">
        <s:f>D11-D12-D13</s:f>
        <s:v>282788278.1512941</s:v>
      </s:c>
      <s:c r="E14" s="29">
        <s:f>E11-E12-E13</s:f>
        <s:v>571330866.0057043</s:v>
      </s:c>
    </s:row>
    <s:row r="15">
      <s:c r="A15" s="6" t="inlineStr">
        <s:is>
          <s:t>Все бонусные затраты, % от прироста маржи</s:t>
        </s:is>
      </s:c>
      <s:c r="B15" s="38" t="inlineStr">
        <s:is>
          <s:t>%</s:t>
        </s:is>
      </s:c>
      <s:c r="C15" s="44">
        <s:f>IFERROR((C12+C13)/C11,0)</s:f>
        <s:v>0.04297129056540969</s:v>
      </s:c>
      <s:c r="D15" s="44">
        <s:f>IFERROR((D12+D13)/D11,0)</s:f>
        <s:v>0.02375305891396129</s:v>
      </s:c>
      <s:c r="E15" s="44">
        <s:f>IFERROR((E12+E13)/E11,0)</s:f>
        <s:v>0.013820491548627844</s:v>
      </s:c>
    </s:row>
    <s:row r="18">
      <s:c r="A18" s="3" t="inlineStr">
        <s:is>
          <s:t>Порог безубыточности</s:t>
        </s:is>
      </s:c>
    </s:row>
    <s:row r="19">
      <s:c r="A19" s="6" t="inlineStr">
        <s:is>
          <s:t>Единая конверсия по всем трём шагам, при которой чистый эффект = 0</s:t>
        </s:is>
      </s:c>
      <s:c r="B19" s="38" t="inlineStr">
        <s:is>
          <s:t>% пула/год</s:t>
        </s:is>
      </s:c>
      <s:c r="C19" s="48">
        <s:f>IFERROR(Тир_Период!$N$59/($C$10*(Миграция!$C$14*(Миграция!$C$8-Миграция!$C$11)+Миграция!$D$14*(Миграция!$D$8-Миграция!$D$11)+Миграция!$E$14*(Миграция!$E$8-Миграция!$E$11))),0)</s:f>
        <s:v>0.0018510507962870705</s:v>
      </s:c>
    </s:row>
    <s:row r="21">
      <s:c r="A21" s="6" t="inlineStr">
        <s:is>
          <s:t>Запас до порога: базовый сценарий / порог</s:t>
        </s:is>
      </s:c>
      <s:c r="B21" s="38" t="inlineStr">
        <s:is>
          <s:t>×</s:t>
        </s:is>
      </s:c>
      <s:c r="C21" s="49">
        <s:f>IFERROR(AVERAGE(D5:D7)/$C$19,0)</s:f>
        <s:v>45.019474074124524</s:v>
      </s:c>
    </s:row>
    <s:row r="23">
      <s:c r="A23" s="3" t="inlineStr">
        <s:is>
          <s:t>Итог по когорте за 2026 год (из листа «Тир_Период»)</s:t>
        </s:is>
      </s:c>
    </s:row>
    <s:row r="24">
      <s:c r="A24" s="6" t="inlineStr">
        <s:is>
          <s:t>ДОХОД: валовая выручка</s:t>
        </s:is>
      </s:c>
      <s:c r="B24" s="38" t="inlineStr">
        <s:is>
          <s:t>₽/год</s:t>
        </s:is>
      </s:c>
      <s:c r="C24" s="42">
        <s:f>Тир_Период!$N$55</s:f>
        <s:v>7808297988.0</s:v>
      </s:c>
    </s:row>
    <s:row r="25">
      <s:c r="A25" s="6" t="inlineStr">
        <s:is>
          <s:t>ДОХОД: грязная маржа</s:t>
        </s:is>
      </s:c>
      <s:c r="B25" s="38" t="inlineStr">
        <s:is>
          <s:t>₽/год</s:t>
        </s:is>
      </s:c>
      <s:c r="C25" s="42">
        <s:f>Тир_Период!$N$56</s:f>
        <s:v>2342489396.4</s:v>
      </s:c>
    </s:row>
    <s:row r="26">
      <s:c r="A26" s="6" t="inlineStr">
        <s:is>
          <s:t>РАСХОД: эко-бонус базовый (как сейчас)</s:t>
        </s:is>
      </s:c>
      <s:c r="B26" s="38" t="inlineStr">
        <s:is>
          <s:t>₽/год</s:t>
        </s:is>
      </s:c>
      <s:c r="C26" s="42">
        <s:f>Тир_Период!$N$57</s:f>
        <s:v>47946401.785628565</s:v>
      </s:c>
    </s:row>
    <s:row r="27">
      <s:c r="A27" s="6" t="inlineStr">
        <s:is>
          <s:t>РАСХОД: эко-бонус с механикой</s:t>
        </s:is>
      </s:c>
      <s:c r="B27" s="38" t="inlineStr">
        <s:is>
          <s:t>₽/год</s:t>
        </s:is>
      </s:c>
      <s:c r="C27" s="42">
        <s:f>Тир_Период!$N$58</s:f>
        <s:v>53700711.48874462</s:v>
      </s:c>
    </s:row>
    <s:row r="28">
      <s:c r="A28" s="6" t="inlineStr">
        <s:is>
          <s:t>РАСХОД: доплата от механики (слепая)</s:t>
        </s:is>
      </s:c>
      <s:c r="B28" s="38" t="inlineStr">
        <s:is>
          <s:t>₽/год</s:t>
        </s:is>
      </s:c>
      <s:c r="C28" s="42">
        <s:f>Тир_Период!$N$59</s:f>
        <s:v>5754309.703116056</s:v>
      </s:c>
    </s:row>
    <s:row r="29">
      <s:c r="A29" s="27" t="inlineStr">
        <s:is>
          <s:t>ВКЛАД до учёта миграции</s:t>
        </s:is>
      </s:c>
      <s:c r="B29" s="38" t="inlineStr">
        <s:is>
          <s:t>₽/год</s:t>
        </s:is>
      </s:c>
      <s:c r="C29" s="47">
        <s:f>Тир_Период!$N$60</s:f>
        <s:v>2288788684.9112554</s:v>
      </s:c>
    </s:row>
    <s:row r="31" ht="30" customHeight="1">
      <s:c r="A31" s="9" t="inlineStr">
        <s:is>
          <s:t>Порог безубыточности — не прогноз, а свойство конструкции: он показывает, какая доля пула должна подняться в следующий тир, чтобы окупить слепую доплату. Реальную конверсию даст только A/B с holdout.</s:t>
        </s:is>
      </s:c>
    </s:row>
  </s:sheetData>
  <s:pageMargins left="0.75" right="0.75" top="1" bottom="1" header="0.5" footer="0.5"/>
  <s:legacyDrawing r:id="anysvml"/>
</s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2026-08-17T14:36:09Z</dcterms:created>
  <dcterms:modified xsi:type="dcterms:W3CDTF">2026-08-17T14:36:09Z</dcterms:modified>
</cp:coreProperties>
</file>