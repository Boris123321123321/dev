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Читать сначала" sheetId="1" state="visible" r:id="rId1"/>
    <sheet name="Допущения" sheetId="2" state="visible" r:id="rId2"/>
    <sheet name="Данные_бонусы" sheetId="3" state="visible" r:id="rId3"/>
    <sheet name="Выручка_вход" sheetId="4" state="visible" r:id="rId4"/>
    <sheet name="Unit-экономика" sheetId="5" state="visible" r:id="rId5"/>
    <sheet name="Тир_Период" sheetId="6" state="visible" r:id="rId6"/>
    <sheet name="Миграция" sheetId="7" state="visible" r:id="rId7"/>
    <sheet name="Сценари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#,##0 ₽;(#,##0 ₽);-"/>
    <numFmt numFmtId="165" formatCode="0.00&quot;×&quot;"/>
    <numFmt numFmtId="166" formatCode="0.0%;(0.0%);-"/>
    <numFmt numFmtId="167" formatCode="#,##0.00 ₽;(#,##0.00 ₽);-"/>
    <numFmt numFmtId="168" formatCode="0&quot; мес&quot;"/>
    <numFmt numFmtId="169" formatCode="yyyy-mm-dd"/>
    <numFmt numFmtId="170" formatCode="DD.MM.YYYY"/>
    <numFmt numFmtId="171" formatCode="#,##0;(#,##0);-"/>
    <numFmt numFmtId="172" formatCode="0.00%;(0.00%);-"/>
    <numFmt numFmtId="173" formatCode="0.0&quot;×&quot;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i val="1"/>
      <color rgb="00595959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i val="1"/>
      <color rgb="00595959"/>
      <sz val="9"/>
    </font>
    <font>
      <name val="Arial"/>
      <color rgb="00595959"/>
      <sz val="9"/>
    </font>
    <font>
      <name val="Arial"/>
      <b val="1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 wrapText="1"/>
    </xf>
    <xf numFmtId="0" fontId="4" fillId="0" borderId="1" pivotButton="0" quotePrefix="0" xfId="0"/>
    <xf numFmtId="164" fontId="6" fillId="3" borderId="1" pivotButton="0" quotePrefix="0" xfId="0"/>
    <xf numFmtId="165" fontId="6" fillId="3" borderId="1" pivotButton="0" quotePrefix="0" xfId="0"/>
    <xf numFmtId="0" fontId="2" fillId="0" borderId="0" applyAlignment="1" pivotButton="0" quotePrefix="0" xfId="0">
      <alignment vertical="top" wrapText="1"/>
    </xf>
    <xf numFmtId="0" fontId="6" fillId="3" borderId="1" pivotButton="0" quotePrefix="0" xfId="0"/>
    <xf numFmtId="166" fontId="6" fillId="3" borderId="1" pivotButton="0" quotePrefix="0" xfId="0"/>
    <xf numFmtId="0" fontId="2" fillId="0" borderId="1" applyAlignment="1" pivotButton="0" quotePrefix="0" xfId="0">
      <alignment vertical="top" wrapText="1"/>
    </xf>
    <xf numFmtId="167" fontId="6" fillId="4" borderId="1" pivotButton="0" quotePrefix="0" xfId="0"/>
    <xf numFmtId="168" fontId="6" fillId="3" borderId="1" pivotButton="0" quotePrefix="0" xfId="0"/>
    <xf numFmtId="168" fontId="4" fillId="0" borderId="1" pivotButton="0" quotePrefix="0" xfId="0"/>
    <xf numFmtId="170" fontId="6" fillId="4" borderId="1" pivotButton="0" quotePrefix="0" xfId="0"/>
    <xf numFmtId="0" fontId="2" fillId="0" borderId="1" pivotButton="0" quotePrefix="0" xfId="0"/>
    <xf numFmtId="1" fontId="6" fillId="4" borderId="1" pivotButton="0" quotePrefix="0" xfId="0"/>
    <xf numFmtId="2" fontId="6" fillId="3" borderId="1" pivotButton="0" quotePrefix="0" xfId="0"/>
    <xf numFmtId="167" fontId="4" fillId="0" borderId="1" pivotButton="0" quotePrefix="0" xfId="0"/>
    <xf numFmtId="0" fontId="5" fillId="2" borderId="1" applyAlignment="1" pivotButton="0" quotePrefix="0" xfId="0">
      <alignment horizontal="center" vertical="center"/>
    </xf>
    <xf numFmtId="171" fontId="6" fillId="4" borderId="1" pivotButton="0" quotePrefix="0" xfId="0"/>
    <xf numFmtId="164" fontId="6" fillId="4" borderId="1" pivotButton="0" quotePrefix="0" xfId="0"/>
    <xf numFmtId="168" fontId="7" fillId="0" borderId="1" pivotButton="0" quotePrefix="0" xfId="0"/>
    <xf numFmtId="164" fontId="4" fillId="0" borderId="1" pivotButton="0" quotePrefix="0" xfId="0"/>
    <xf numFmtId="2" fontId="4" fillId="0" borderId="1" pivotButton="0" quotePrefix="0" xfId="0"/>
    <xf numFmtId="0" fontId="8" fillId="0" borderId="1" pivotButton="0" quotePrefix="0" xfId="0"/>
    <xf numFmtId="171" fontId="8" fillId="0" borderId="1" pivotButton="0" quotePrefix="0" xfId="0"/>
    <xf numFmtId="164" fontId="8" fillId="0" borderId="1" pivotButton="0" quotePrefix="0" xfId="0"/>
    <xf numFmtId="167" fontId="8" fillId="0" borderId="1" pivotButton="0" quotePrefix="0" xfId="0"/>
    <xf numFmtId="2" fontId="8" fillId="0" borderId="1" pivotButton="0" quotePrefix="0" xfId="0"/>
    <xf numFmtId="0" fontId="8" fillId="3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71" fontId="6" fillId="3" borderId="1" pivotButton="0" quotePrefix="0" xfId="0"/>
    <xf numFmtId="171" fontId="4" fillId="0" borderId="1" pivotButton="0" quotePrefix="0" xfId="0"/>
    <xf numFmtId="0" fontId="9" fillId="0" borderId="1" pivotButton="0" quotePrefix="0" xfId="0"/>
    <xf numFmtId="0" fontId="10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171" fontId="7" fillId="0" borderId="1" pivotButton="0" quotePrefix="0" xfId="0"/>
    <xf numFmtId="164" fontId="7" fillId="0" borderId="1" pivotButton="0" quotePrefix="0" xfId="0"/>
    <xf numFmtId="167" fontId="7" fillId="0" borderId="1" pivotButton="0" quotePrefix="0" xfId="0"/>
    <xf numFmtId="172" fontId="4" fillId="0" borderId="1" pivotButton="0" quotePrefix="0" xfId="0"/>
    <xf numFmtId="172" fontId="8" fillId="0" borderId="1" pivotButton="0" quotePrefix="0" xfId="0"/>
    <xf numFmtId="1" fontId="6" fillId="3" borderId="1" pivotButton="0" quotePrefix="0" xfId="0"/>
    <xf numFmtId="164" fontId="11" fillId="0" borderId="1" pivotButton="0" quotePrefix="0" xfId="0"/>
    <xf numFmtId="172" fontId="8" fillId="3" borderId="1" pivotButton="0" quotePrefix="0" xfId="0"/>
    <xf numFmtId="173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Модель</author>
  </authors>
  <commentList>
    <comment ref="B14" authorId="0" shapeId="0">
      <text>
        <t>Грязная маржа = валовая выручка × эта ставка.
ТРЕБУЕТ ПОДТВЕРЖДЕНИЯ финансами.
В прошлой версии модели поля «Маржа ВВ/мес» были несовместимы с ВВ тех же сегментов (239% и 149% от выручки), поэтому вывести ставку из них нельзя.</t>
      </text>
    </comment>
  </commentList>
</comments>
</file>

<file path=xl/comments/comment2.xml><?xml version="1.0" encoding="utf-8"?>
<comments xmlns="http://schemas.openxmlformats.org/spreadsheetml/2006/main">
  <authors>
    <author>Модель</author>
  </authors>
  <commentList>
    <comment ref="C18" authorId="0" shapeId="0">
      <text>
        <t>Среднее число юзеров в тире за месяц (не сумма — это один и тот же пул).</t>
      </text>
    </comment>
    <comment ref="D18" authorId="0" shapeId="0">
      <text>
        <t>Среднее число юзеров в тире за месяц (не сумма — это один и тот же пул).</t>
      </text>
    </comment>
    <comment ref="E18" authorId="0" shapeId="0">
      <text>
        <t>Среднее число юзеров в тире за месяц (не сумма — это один и тот же пул).</t>
      </text>
    </comment>
    <comment ref="F18" authorId="0" shapeId="0">
      <text>
        <t>Среднее число юзеров в тире за месяц (не сумма — это один и тот же пул).</t>
      </text>
    </comment>
    <comment ref="G18" authorId="0" shapeId="0">
      <text>
        <t>Средневзвешенная по числу юзеров ВВ на юзера за месяц.</t>
      </text>
    </comment>
    <comment ref="H18" authorId="0" shapeId="0">
      <text>
        <t>Средневзвешенная по числу юзеров ВВ на юзера за месяц.</t>
      </text>
    </comment>
    <comment ref="I18" authorId="0" shapeId="0">
      <text>
        <t>Средневзвешенная по числу юзеров ВВ на юзера за месяц.</t>
      </text>
    </comment>
    <comment ref="J18" authorId="0" shapeId="0">
      <text>
        <t>Средневзвешенная по числу юзеров ВВ на юзера за месяц.</t>
      </text>
    </comment>
    <comment ref="L18" authorId="0" shapeId="0">
      <text>
        <t>Сумма ВВ когорты за 12 месяцев 2026 года.</t>
      </text>
    </comment>
  </commentList>
</comments>
</file>

<file path=xl/comments/comment3.xml><?xml version="1.0" encoding="utf-8"?>
<comments xmlns="http://schemas.openxmlformats.org/spreadsheetml/2006/main">
  <authors>
    <author>Модель</author>
  </authors>
  <commentList>
    <comment ref="C10" authorId="0" shapeId="0">
      <text>
        <t>Мигранты набираются в течение года, поэтому в первый год каждый работает в среднем половину года. 6 мес — консервативно. Поставьте 12 для расчёта на полный год в стационарном режиме.</t>
      </text>
    </comment>
    <comment ref="D10" authorId="0" shapeId="0">
      <text>
        <t>Мигранты набираются в течение года, поэтому в первый год каждый работает в среднем половину года. 6 мес — консервативно. Поставьте 12 для расчёта на полный год в стационарном режиме.</t>
      </text>
    </comment>
    <comment ref="E10" authorId="0" shapeId="0">
      <text>
        <t>Мигранты набираются в течение года, поэтому в первый год каждый работает в среднем половину года. 6 мес — консервативно. Поставьте 12 для расчёта на полный год в стационарном режиме.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Эко-тиры: unit-экономика прогрессивных бонусов за утилизацию</t>
        </is>
      </c>
    </row>
    <row r="2">
      <c r="A2" s="2" t="inlineStr">
        <is>
          <t>Окно бонусов: 2025-06-01 — 2026-07-31 (14 мес). Разложение: по тирам и по месяцам с 01.2026.</t>
        </is>
      </c>
    </row>
    <row r="4">
      <c r="A4" s="3" t="inlineStr">
        <is>
          <t>СУТЬ МЕХАНИКИ</t>
        </is>
      </c>
    </row>
    <row r="5" ht="42" customHeight="1">
      <c r="A5" s="4" t="inlineStr">
        <is>
          <t>Коэффициент начисления эко-бонусов за сдачу вторсырья растёт вместе с валовой выручкой покупателя: 4 тира. Модель считает полную экономику — доход (грязная маржа с приростом ВВ) минус расход (все бонусные затраты, включая доплату тем, кто не менял поведение).</t>
        </is>
      </c>
    </row>
    <row r="7">
      <c r="A7" s="3" t="inlineStr">
        <is>
          <t>ЧТО ИЗМЕНИЛОСЬ В ЭТОЙ ВЕРСИИ</t>
        </is>
      </c>
    </row>
    <row r="8" ht="154" customHeight="1">
      <c r="A8" s="4" t="inlineStr">
        <is>
          <t>1. Расчёт переведён на unit-экономику: базовая единица — один пользователь за один месяц. Тиры и периоды получаются масштабированием юнита на число пользователей.
2. Убрана связка с АСР-сегментами ВВ. Тир определяется только границей валовой выручки за календарный месяц: Старт &lt; 3 000 ₽, Росток 3 000–12 000 ₽, Дерево 12 000–35 000 ₽, Лес ≥ 35 000 ₽.
3. База расчёта — валовая выручка. Грязная маржа = ВВ × ставка грязной маржи (лист «Допущения»).
4. Разложение по каждому тиру и по каждому месяцу начиная с 01.2026 — доходы и расходы (лист «Тир_Период»).
5. Все окна — в календарных месяцах. Окон «90 дней» и «30 дней» в модели больше нет: квалификация в тир — за календарный месяц, эмиссия бонусов нормирована на 14 месяцев фактической выгрузки.</t>
        </is>
      </c>
    </row>
    <row r="10">
      <c r="A10" s="3" t="inlineStr">
        <is>
          <t>ПОЧЕМУ СНЯТИЕ СВЯЗКИ С СЕГМЕНТАМИ СИЛЬНО МЕНЯЕТ ЦИФРЫ</t>
        </is>
      </c>
    </row>
    <row r="11" ht="70" customHeight="1">
      <c r="A11" s="4" t="inlineStr">
        <is>
          <t>В предыдущей версии тир присваивался по сегменту: Амбассадор → Лес (×2,85), Средний → Дерево (×2,15). Но по собственной экономике сегментов из АСР-выгрузки средняя ВВ Амбассадора ≈ 10 330 ₽/мес (5,0 покупок × 2 066 ₽), то есть до порога Леса в 35 000 ₽ он не доходит — это уровень Ростка. Средний ≈ 1 212 ₽/мес — это Старт. Связка «сегмент → тир» завышала присвоенные множители, а вместе с ними и «слепую доплату». По границам выручки доплата получается в несколько раз меньше — см. лист «Тир_Период».</t>
        </is>
      </c>
    </row>
    <row r="13">
      <c r="A13" s="3" t="inlineStr">
        <is>
          <t>ДАННЫЕ</t>
        </is>
      </c>
    </row>
    <row r="14" ht="70" customHeight="1">
      <c r="A14" s="4" t="inlineStr">
        <is>
          <t>• Факт (серое): выгрузка эко-бонусов 2025-06-01 — 2026-07-31: 248 950 карт  55 937 469 ₽ начислено за 14 мес = 3 995 533 ₽/мес = 16.05 ₽/юзер/мес.
• Границы тиров и множители — из постановки задачи (жёлтое  лист «Допущения»).
• Ставка грязной маржи — допущение  требует подтверждения финансами.</t>
        </is>
      </c>
    </row>
    <row r="16">
      <c r="A16" s="3" t="inlineStr">
        <is>
          <t>ЧЕГО ПОКА НЕТ — И ЧТО ЭТО ЗНАЧИТ</t>
        </is>
      </c>
    </row>
    <row r="17" ht="126" customHeight="1">
      <c r="A17" s="4" t="inlineStr">
        <is>
          <t>Выгрузка фактической валовой выручки по пользователям с начала 2026 года запрошена у аналитиков, но ещё не пришла. Поэтому распределение пользователей по тирам и средняя ВВ внутри тира на листе «Выручка_вход» — ПЛЕЙСХОЛДЕР (помечен жёлтым), а не факт. Он засеян логнормальным распределением со средней ВВ, собранной из агрегатов АСР-выгрузки, и log-СКО = 1.2 — только чтобы модель считалась от начала до конца и её можно было проверить.
Когда выгрузка придёт, весь лист «Выручка_вход» пересобирается одной командой:
    python3 scripts/build_model.py --bonus-aggregates data/bonus_aggregates.json --revenue &lt;файл.xlsx&gt;
Ни одна формула ниже при этом не меняется — меняются только входные числа.</t>
        </is>
      </c>
    </row>
    <row r="19">
      <c r="A19" s="3" t="inlineStr">
        <is>
          <t>ЧТО НЕ ЯВЛЯЕТСЯ ФАКТОМ В РАСХОДНОЙ ЧАСТИ</t>
        </is>
      </c>
    </row>
    <row r="20" ht="84" customHeight="1">
      <c r="A20" s="4" t="inlineStr">
        <is>
          <t>Выгрузка даёт суммарное начисление за 14 месяцев на карту, а не начисление по месяцам. Поэтому месячная эмиссия = среднее за окно × индекс месяца (индексы на листе «Допущения», по умолчанию 1,00 — то есть без сезонности). Разбивка бонусов по месяцам даст здесь факт.
Разбивка базового эко-бонуса по тирам — тоже допущение: индекс 1,00 для всех тиров. Основание из факта: начисление на юзера почти не зависит от покупательной силы (по АСР-сегментам индекс к среднему 0,68–1,21 без монотонного тренда — лист «Данные_бонусы»).</t>
        </is>
      </c>
    </row>
    <row r="22">
      <c r="A22" s="3" t="inlineStr">
        <is>
          <t>ЧЕСТНАЯ ОГОВОРКА ПРО ИНКРЕМЕНТАЛЬНОСТЬ</t>
        </is>
      </c>
    </row>
    <row r="23" ht="42" customHeight="1">
      <c r="A23" s="4" t="inlineStr">
        <is>
          <t>Прирост маржи при переходе в тир — разница средних ВВ тиров; часть переходов случилась бы и без механики. Реальную конверсию даст только A/B с holdout. Поэтому в модели три сценария конверсии, а порог безубыточности показан отдельно (лист «Сценарии»).</t>
        </is>
      </c>
    </row>
    <row r="25">
      <c r="A25" s="3" t="inlineStr">
        <is>
          <t>КАК ПОЛЬЗОВАТЬСЯ</t>
        </is>
      </c>
    </row>
    <row r="26" ht="28" customHeight="1">
      <c r="A26" s="4" t="inlineStr">
        <is>
          <t>Серое — факт, не менять. Жёлтое — допущения и ячейки под заполнение, их можно крутить. Синий шрифт — введённое руками число. Чёрный — формула. Зелёный — ссылка на другой лист.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Допущения и границы тиров</t>
        </is>
      </c>
    </row>
    <row r="2">
      <c r="A2" s="2" t="inlineStr">
        <is>
          <t>Жёлтое — можно менять. Границы — в валовой выручке за КАЛЕНДАРНЫЙ МЕСЯЦ.</t>
        </is>
      </c>
    </row>
    <row r="4">
      <c r="A4" s="3" t="inlineStr">
        <is>
          <t>A. Тиры: граница валовой выручки за календарный месяц</t>
        </is>
      </c>
    </row>
    <row r="5" ht="30" customHeight="1">
      <c r="A5" s="5" t="inlineStr">
        <is>
          <t>Тир</t>
        </is>
      </c>
      <c r="B5" s="5" t="inlineStr">
        <is>
          <t>ВВ/мес от, ₽</t>
        </is>
      </c>
      <c r="C5" s="5" t="inlineStr">
        <is>
          <t>ВВ/мес до, ₽</t>
        </is>
      </c>
      <c r="D5" s="5" t="inlineStr">
        <is>
          <t>Множитель бонуса</t>
        </is>
      </c>
    </row>
    <row r="6">
      <c r="A6" s="6" t="inlineStr">
        <is>
          <t>🌱 Старт</t>
        </is>
      </c>
      <c r="B6" s="7" t="n">
        <v>0</v>
      </c>
      <c r="C6" s="7" t="n">
        <v>3000</v>
      </c>
      <c r="D6" s="8" t="n">
        <v>1</v>
      </c>
      <c r="F6" s="9" t="inlineStr">
        <is>
          <t>Тир присваивается по валовой выручке за месяц. Привязки к АСР-сегментам ВВ в расчёте нет.</t>
        </is>
      </c>
    </row>
    <row r="7">
      <c r="A7" s="6" t="inlineStr">
        <is>
          <t>🌿 Росток</t>
        </is>
      </c>
      <c r="B7" s="7" t="n">
        <v>3000</v>
      </c>
      <c r="C7" s="7" t="n">
        <v>12000</v>
      </c>
      <c r="D7" s="8" t="n">
        <v>1.4</v>
      </c>
    </row>
    <row r="8">
      <c r="A8" s="6" t="inlineStr">
        <is>
          <t>🌳 Дерево</t>
        </is>
      </c>
      <c r="B8" s="7" t="n">
        <v>12000</v>
      </c>
      <c r="C8" s="7" t="n">
        <v>35000</v>
      </c>
      <c r="D8" s="8" t="n">
        <v>2.15</v>
      </c>
    </row>
    <row r="9">
      <c r="A9" s="6" t="inlineStr">
        <is>
          <t>🌲 Лес</t>
        </is>
      </c>
      <c r="B9" s="7" t="n">
        <v>35000</v>
      </c>
      <c r="C9" s="10" t="inlineStr">
        <is>
          <t>без ограничения</t>
        </is>
      </c>
      <c r="D9" s="8" t="n">
        <v>2.85</v>
      </c>
    </row>
    <row r="12">
      <c r="A12" s="3" t="inlineStr">
        <is>
          <t>B. Экономика</t>
        </is>
      </c>
    </row>
    <row r="13" ht="30" customHeight="1">
      <c r="A13" s="5" t="inlineStr">
        <is>
          <t>Параметр</t>
        </is>
      </c>
      <c r="B13" s="5" t="inlineStr">
        <is>
          <t>Значение</t>
        </is>
      </c>
      <c r="C13" s="5" t="inlineStr">
        <is>
          <t>Ед.</t>
        </is>
      </c>
      <c r="D13" s="5" t="inlineStr">
        <is>
          <t>Источник / комментарий</t>
        </is>
      </c>
    </row>
    <row r="14">
      <c r="A14" s="6" t="inlineStr">
        <is>
          <t>Ставка грязной маржи</t>
        </is>
      </c>
      <c r="B14" s="11" t="n">
        <v>0.3</v>
      </c>
      <c r="C14" s="6" t="inlineStr">
        <is>
          <t>% от ВВ</t>
        </is>
      </c>
      <c r="D14" s="12" t="inlineStr">
        <is>
          <t>ДОПУЩЕНИЕ. Из полей «Маржа ВВ/мес» прошлой версии ставку вывести нельзя: для Репертуарного это 239%, для Среднего 149% от их же ВВ.</t>
        </is>
      </c>
    </row>
    <row r="15">
      <c r="A15" s="6" t="inlineStr">
        <is>
          <t>Базовый эко-бонус</t>
        </is>
      </c>
      <c r="B15" s="13" t="n">
        <v>16.0495420049637</v>
      </c>
      <c r="C15" s="6" t="inlineStr">
        <is>
          <t>₽/юзер/мес</t>
        </is>
      </c>
      <c r="D15" s="12" t="inlineStr">
        <is>
          <t>ФАКТ: 55 937 469 ₽ / 248 950 карт / 14 мес. Источник: cec572a0-_________31_07_1_1.xlsx.</t>
        </is>
      </c>
    </row>
    <row r="16">
      <c r="A16" s="6" t="inlineStr">
        <is>
          <t>Окно квалификации в тир</t>
        </is>
      </c>
      <c r="B16" s="14" t="n">
        <v>1</v>
      </c>
      <c r="C16" s="6" t="inlineStr">
        <is>
          <t>мес</t>
        </is>
      </c>
      <c r="D16" s="12" t="inlineStr">
        <is>
          <t>Заменяет прежнее условие «за 30 дн покупок». Все окна модели — в месяцах.</t>
        </is>
      </c>
    </row>
    <row r="17">
      <c r="A17" s="6" t="inlineStr">
        <is>
          <t>Окно выгрузки бонусов</t>
        </is>
      </c>
      <c r="B17" s="15">
        <f>(YEAR(B19)-YEAR(B18))*12+MONTH(B19)-MONTH(B18)+1</f>
        <v/>
      </c>
      <c r="C17" s="6" t="inlineStr">
        <is>
          <t>мес</t>
        </is>
      </c>
      <c r="D17" s="12" t="inlineStr">
        <is>
          <t>Число месяцев — формула от дат окна (B18, B19), а не константа. Заменяет прежнюю нормировку «×365/90».</t>
        </is>
      </c>
    </row>
    <row r="18">
      <c r="A18" s="6" t="inlineStr">
        <is>
          <t>Начало окна выгрузки</t>
        </is>
      </c>
      <c r="B18" s="16" t="n">
        <v>45809</v>
      </c>
      <c r="C18" s="6" t="inlineStr">
        <is>
          <t>дата</t>
        </is>
      </c>
      <c r="D18" s="17" t="inlineStr">
        <is>
          <t>ФАКТ из выгрузки бонусов.</t>
        </is>
      </c>
    </row>
    <row r="19">
      <c r="A19" s="6" t="inlineStr">
        <is>
          <t>Конец окна выгрузки</t>
        </is>
      </c>
      <c r="B19" s="16" t="n">
        <v>46234</v>
      </c>
      <c r="C19" s="6" t="inlineStr">
        <is>
          <t>дата</t>
        </is>
      </c>
      <c r="D19" s="17" t="inlineStr">
        <is>
          <t>ФАКТ из выгрузки бонусов.</t>
        </is>
      </c>
    </row>
    <row r="20">
      <c r="A20" s="6" t="inlineStr">
        <is>
          <t>Последний закрытый месяц факта 2026</t>
        </is>
      </c>
      <c r="B20" s="18" t="n">
        <v>7</v>
      </c>
      <c r="C20" s="6" t="inlineStr">
        <is>
          <t>номер мес</t>
        </is>
      </c>
      <c r="D20" s="12" t="inlineStr">
        <is>
          <t>Месяцы 2026 года до этого включительно попадают в окно выгрузки бонусов, дальше — прогноз.</t>
        </is>
      </c>
    </row>
    <row r="22">
      <c r="A22" s="3" t="inlineStr">
        <is>
          <t>C. Индекс базового эко-бонуса по тирам</t>
        </is>
      </c>
    </row>
    <row r="23">
      <c r="A23" s="2" t="inlineStr">
        <is>
          <t>Во сколько раз начисление на юзера в тире отличается от среднего. По умолчанию 1,00 — начисление не зависит от тира.</t>
        </is>
      </c>
    </row>
    <row r="24" ht="30" customHeight="1">
      <c r="A24" s="5" t="inlineStr">
        <is>
          <t>Тир</t>
        </is>
      </c>
      <c r="B24" s="5" t="inlineStr">
        <is>
          <t>Индекс</t>
        </is>
      </c>
      <c r="C24" s="5" t="inlineStr">
        <is>
          <t>Базовый бонус, ₽/юзер/мес</t>
        </is>
      </c>
      <c r="D24" s="5" t="inlineStr">
        <is>
          <t>Основание</t>
        </is>
      </c>
    </row>
    <row r="25">
      <c r="A25" s="6" t="inlineStr">
        <is>
          <t>🌱 Старт</t>
        </is>
      </c>
      <c r="B25" s="19" t="n">
        <v>1</v>
      </c>
      <c r="C25" s="20">
        <f>$B$15*B25</f>
        <v/>
      </c>
      <c r="D25" s="12" t="inlineStr">
        <is>
          <t>ФАКТ-основание: по АСР-сегментам начисление на юзера почти не зависит от покупательной силы — индекс 0,68–1,21 без монотонного тренда (лист «Данные_бонусы»). Точную разбивку даст выгрузка бонусов в разрезе тиров.</t>
        </is>
      </c>
    </row>
    <row r="26">
      <c r="A26" s="6" t="inlineStr">
        <is>
          <t>🌿 Росток</t>
        </is>
      </c>
      <c r="B26" s="19" t="n">
        <v>1</v>
      </c>
      <c r="C26" s="20">
        <f>$B$15*B26</f>
        <v/>
      </c>
      <c r="D26" s="6" t="inlineStr"/>
    </row>
    <row r="27">
      <c r="A27" s="6" t="inlineStr">
        <is>
          <t>🌳 Дерево</t>
        </is>
      </c>
      <c r="B27" s="19" t="n">
        <v>1</v>
      </c>
      <c r="C27" s="20">
        <f>$B$15*B27</f>
        <v/>
      </c>
      <c r="D27" s="6" t="inlineStr"/>
    </row>
    <row r="28">
      <c r="A28" s="6" t="inlineStr">
        <is>
          <t>🌲 Лес</t>
        </is>
      </c>
      <c r="B28" s="19" t="n">
        <v>1</v>
      </c>
      <c r="C28" s="20">
        <f>$B$15*B28</f>
        <v/>
      </c>
      <c r="D28" s="6" t="inlineStr"/>
    </row>
    <row r="31">
      <c r="A31" s="3" t="inlineStr">
        <is>
          <t>D. Индекс месяца для эмиссии бонусов</t>
        </is>
      </c>
    </row>
    <row r="32">
      <c r="A32" s="2" t="inlineStr">
        <is>
          <t>1,00 = эмиссия равна среднему за окно выгрузки. Правится, когда придёт разбивка начислений по месяцам.</t>
        </is>
      </c>
    </row>
    <row r="33">
      <c r="A33" s="21" t="inlineStr">
        <is>
          <t>Месяц</t>
        </is>
      </c>
      <c r="B33" s="21" t="inlineStr">
        <is>
          <t>2026-01</t>
        </is>
      </c>
      <c r="C33" s="21" t="inlineStr">
        <is>
          <t>2026-02</t>
        </is>
      </c>
      <c r="D33" s="21" t="inlineStr">
        <is>
          <t>2026-03</t>
        </is>
      </c>
      <c r="E33" s="21" t="inlineStr">
        <is>
          <t>2026-04</t>
        </is>
      </c>
      <c r="F33" s="21" t="inlineStr">
        <is>
          <t>2026-05</t>
        </is>
      </c>
      <c r="G33" s="21" t="inlineStr">
        <is>
          <t>2026-06</t>
        </is>
      </c>
      <c r="H33" s="21" t="inlineStr">
        <is>
          <t>2026-07</t>
        </is>
      </c>
      <c r="I33" s="21" t="inlineStr">
        <is>
          <t>2026-08</t>
        </is>
      </c>
      <c r="J33" s="21" t="inlineStr">
        <is>
          <t>2026-09</t>
        </is>
      </c>
      <c r="K33" s="21" t="inlineStr">
        <is>
          <t>2026-10</t>
        </is>
      </c>
      <c r="L33" s="21" t="inlineStr">
        <is>
          <t>2026-11</t>
        </is>
      </c>
      <c r="M33" s="21" t="inlineStr">
        <is>
          <t>2026-12</t>
        </is>
      </c>
    </row>
    <row r="34">
      <c r="A34" s="21" t="inlineStr">
        <is>
          <t>Индекс</t>
        </is>
      </c>
      <c r="B34" s="19" t="n">
        <v>1</v>
      </c>
      <c r="C34" s="19" t="n">
        <v>1</v>
      </c>
      <c r="D34" s="19" t="n">
        <v>1</v>
      </c>
      <c r="E34" s="19" t="n">
        <v>1</v>
      </c>
      <c r="F34" s="19" t="n">
        <v>1</v>
      </c>
      <c r="G34" s="19" t="n">
        <v>1</v>
      </c>
      <c r="H34" s="19" t="n">
        <v>1</v>
      </c>
      <c r="I34" s="19" t="n">
        <v>1</v>
      </c>
      <c r="J34" s="19" t="n">
        <v>1</v>
      </c>
      <c r="K34" s="19" t="n">
        <v>1</v>
      </c>
      <c r="L34" s="19" t="n">
        <v>1</v>
      </c>
      <c r="M34" s="19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16" customWidth="1" min="4" max="4"/>
    <col width="18" customWidth="1" min="5" max="5"/>
  </cols>
  <sheetData>
    <row r="1">
      <c r="A1" s="1" t="inlineStr">
        <is>
          <t>Факт: выгрузка эко-бонусов</t>
        </is>
      </c>
    </row>
    <row r="2">
      <c r="A2" s="2" t="inlineStr">
        <is>
          <t>cec572a0-_________31_07_1_1.xlsx · 2025-06-01 — 2026-07-31 · серое = факт, не менять</t>
        </is>
      </c>
    </row>
    <row r="4">
      <c r="A4" s="3" t="inlineStr">
        <is>
          <t>A. Итог по выгрузке</t>
        </is>
      </c>
    </row>
    <row r="5" ht="30" customHeight="1">
      <c r="A5" s="5" t="inlineStr">
        <is>
          <t>Показатель</t>
        </is>
      </c>
      <c r="B5" s="5" t="inlineStr">
        <is>
          <t>Значение</t>
        </is>
      </c>
      <c r="C5" s="5" t="inlineStr">
        <is>
          <t>Ед.</t>
        </is>
      </c>
      <c r="D5" s="5" t="inlineStr">
        <is>
          <t>Как получено</t>
        </is>
      </c>
    </row>
    <row r="6">
      <c r="A6" s="6" t="inlineStr">
        <is>
          <t>Карт участников</t>
        </is>
      </c>
      <c r="B6" s="22" t="n">
        <v>248950</v>
      </c>
      <c r="C6" s="6" t="inlineStr">
        <is>
          <t>шт</t>
        </is>
      </c>
      <c r="D6" s="12" t="inlineStr">
        <is>
          <t>Строк в выгрузке (дублей карт нет)</t>
        </is>
      </c>
    </row>
    <row r="7">
      <c r="A7" s="6" t="inlineStr">
        <is>
          <t>Начислено за окно</t>
        </is>
      </c>
      <c r="B7" s="23" t="n">
        <v>55937468.74990001</v>
      </c>
      <c r="C7" s="6" t="inlineStr">
        <is>
          <t>₽</t>
        </is>
      </c>
      <c r="D7" s="12" t="inlineStr">
        <is>
          <t>Сумма bonusvalue</t>
        </is>
      </c>
    </row>
    <row r="8">
      <c r="A8" s="6" t="inlineStr">
        <is>
          <t>Месяцев в окне</t>
        </is>
      </c>
      <c r="B8" s="24">
        <f>Допущения!B17</f>
        <v/>
      </c>
      <c r="C8" s="6" t="inlineStr">
        <is>
          <t>мес</t>
        </is>
      </c>
      <c r="D8" s="12" t="inlineStr">
        <is>
          <t>Ссылка на «Допущения»</t>
        </is>
      </c>
    </row>
    <row r="9">
      <c r="A9" s="6" t="inlineStr">
        <is>
          <t>Эмиссия в месяц</t>
        </is>
      </c>
      <c r="B9" s="25">
        <f>B7/B8</f>
        <v/>
      </c>
      <c r="C9" s="6" t="inlineStr">
        <is>
          <t>₽/мес</t>
        </is>
      </c>
      <c r="D9" s="12" t="inlineStr">
        <is>
          <t>Ссылка на «Допущения»</t>
        </is>
      </c>
    </row>
    <row r="10">
      <c r="A10" s="6" t="inlineStr">
        <is>
          <t>Эмиссия в год</t>
        </is>
      </c>
      <c r="B10" s="25">
        <f>B9*12</f>
        <v/>
      </c>
      <c r="C10" s="6" t="inlineStr">
        <is>
          <t>₽/год</t>
        </is>
      </c>
      <c r="D10" s="12" t="inlineStr">
        <is>
          <t>Ссылка на «Допущения»</t>
        </is>
      </c>
    </row>
    <row r="11">
      <c r="A11" s="6" t="inlineStr">
        <is>
          <t>Базовый бонус на юзера</t>
        </is>
      </c>
      <c r="B11" s="20">
        <f>B9/B6</f>
        <v/>
      </c>
      <c r="C11" s="6" t="inlineStr">
        <is>
          <t>₽/юзер/мес</t>
        </is>
      </c>
      <c r="D11" s="12" t="inlineStr">
        <is>
          <t>Ссылка на «Допущения»</t>
        </is>
      </c>
    </row>
    <row r="14">
      <c r="A14" s="3" t="inlineStr">
        <is>
          <t>B. Распределение начислений на карту за всё окно</t>
        </is>
      </c>
    </row>
    <row r="15" ht="28" customHeight="1">
      <c r="A15" s="9" t="inlineStr">
        <is>
          <t>Распределение крайне скошенное: медиана 50 ₽ за 14 мес против средних 224,69 ₽ — четверть карт получила меньше 20 ₽. Это про расходную часть: множитель к почти нулевой базе почти ничего не стоит.</t>
        </is>
      </c>
    </row>
    <row r="16" ht="30" customHeight="1">
      <c r="A16" s="5" t="inlineStr">
        <is>
          <t>Квантиль</t>
        </is>
      </c>
      <c r="B16" s="5" t="inlineStr">
        <is>
          <t>₽ за окно</t>
        </is>
      </c>
      <c r="C16" s="5" t="inlineStr">
        <is>
          <t>₽/юзер/мес</t>
        </is>
      </c>
    </row>
    <row r="17">
      <c r="A17" s="6" t="inlineStr">
        <is>
          <t>минимум</t>
        </is>
      </c>
      <c r="B17" s="13" t="n">
        <v>0.05</v>
      </c>
      <c r="C17" s="20">
        <f>B17/Допущения!$B$17</f>
        <v/>
      </c>
    </row>
    <row r="18">
      <c r="A18" s="6" t="inlineStr">
        <is>
          <t>10-й перцентиль</t>
        </is>
      </c>
      <c r="B18" s="13" t="n">
        <v>7</v>
      </c>
      <c r="C18" s="20">
        <f>B18/Допущения!$B$17</f>
        <v/>
      </c>
    </row>
    <row r="19">
      <c r="A19" s="6" t="inlineStr">
        <is>
          <t>25-й перцентиль</t>
        </is>
      </c>
      <c r="B19" s="13" t="n">
        <v>19.95</v>
      </c>
      <c r="C19" s="20">
        <f>B19/Допущения!$B$17</f>
        <v/>
      </c>
    </row>
    <row r="20">
      <c r="A20" s="6" t="inlineStr">
        <is>
          <t>медиана</t>
        </is>
      </c>
      <c r="B20" s="13" t="n">
        <v>50</v>
      </c>
      <c r="C20" s="20">
        <f>B20/Допущения!$B$17</f>
        <v/>
      </c>
    </row>
    <row r="21">
      <c r="A21" s="6" t="inlineStr">
        <is>
          <t>75-й перцентиль</t>
        </is>
      </c>
      <c r="B21" s="13" t="n">
        <v>161.25</v>
      </c>
      <c r="C21" s="20">
        <f>B21/Допущения!$B$17</f>
        <v/>
      </c>
    </row>
    <row r="22">
      <c r="A22" s="6" t="inlineStr">
        <is>
          <t>90-й перцентиль</t>
        </is>
      </c>
      <c r="B22" s="13" t="n">
        <v>457.1</v>
      </c>
      <c r="C22" s="20">
        <f>B22/Допущения!$B$17</f>
        <v/>
      </c>
    </row>
    <row r="23">
      <c r="A23" s="6" t="inlineStr">
        <is>
          <t>95-й перцентиль</t>
        </is>
      </c>
      <c r="B23" s="13" t="n">
        <v>854.9549999999988</v>
      </c>
      <c r="C23" s="20">
        <f>B23/Допущения!$B$17</f>
        <v/>
      </c>
    </row>
    <row r="24">
      <c r="A24" s="6" t="inlineStr">
        <is>
          <t>99-й перцентиль</t>
        </is>
      </c>
      <c r="B24" s="13" t="n">
        <v>2793.057000000007</v>
      </c>
      <c r="C24" s="20">
        <f>B24/Допущения!$B$17</f>
        <v/>
      </c>
    </row>
    <row r="25">
      <c r="A25" s="6" t="inlineStr">
        <is>
          <t>максимум</t>
        </is>
      </c>
      <c r="B25" s="13" t="n">
        <v>114072.4</v>
      </c>
      <c r="C25" s="20">
        <f>B25/Допущения!$B$17</f>
        <v/>
      </c>
    </row>
    <row r="28">
      <c r="A28" s="3" t="inlineStr">
        <is>
          <t>C. Справочно: АСР-сегменты ВВ — В РАСЧЁТЕ НЕ УЧАСТВУЮТ</t>
        </is>
      </c>
    </row>
    <row r="29" ht="28" customHeight="1">
      <c r="A29" s="9" t="inlineStr">
        <is>
          <t>Оставлено как доказательство одного факта: начисление эко-бонусов на юзера почти не зависит от покупательной силы. У Амбассадора оно НИЖЕ, чем у Репертуарного. Поэтому индекс базового бонуса по тирам взят 1,00.</t>
        </is>
      </c>
    </row>
    <row r="30" ht="30" customHeight="1">
      <c r="A30" s="5" t="inlineStr">
        <is>
          <t>Сегмент АСР</t>
        </is>
      </c>
      <c r="B30" s="5" t="inlineStr">
        <is>
          <t>Карт</t>
        </is>
      </c>
      <c r="C30" s="5" t="inlineStr">
        <is>
          <t>Начислено за окно, ₽</t>
        </is>
      </c>
      <c r="D30" s="5" t="inlineStr">
        <is>
          <t>₽/юзер/мес</t>
        </is>
      </c>
      <c r="E30" s="5" t="inlineStr">
        <is>
          <t>Индекс к среднему</t>
        </is>
      </c>
    </row>
    <row r="31">
      <c r="A31" s="6" t="inlineStr">
        <is>
          <t>Средний</t>
        </is>
      </c>
      <c r="B31" s="22" t="n">
        <v>84909</v>
      </c>
      <c r="C31" s="23" t="n">
        <v>21517830.2</v>
      </c>
      <c r="D31" s="20">
        <f>C31/B31/Допущения!$B$17</f>
        <v/>
      </c>
      <c r="E31" s="26">
        <f>IFERROR(D31/$D$35,0)</f>
        <v/>
      </c>
    </row>
    <row r="32">
      <c r="A32" s="6" t="inlineStr">
        <is>
          <t>Репертуарный</t>
        </is>
      </c>
      <c r="B32" s="22" t="n">
        <v>70459</v>
      </c>
      <c r="C32" s="23" t="n">
        <v>19204675.1</v>
      </c>
      <c r="D32" s="20">
        <f>C32/B32/Допущения!$B$17</f>
        <v/>
      </c>
      <c r="E32" s="26">
        <f>IFERROR(D32/$D$35,0)</f>
        <v/>
      </c>
    </row>
    <row r="33">
      <c r="A33" s="6" t="inlineStr">
        <is>
          <t>Амбассадор</t>
        </is>
      </c>
      <c r="B33" s="22" t="n">
        <v>51329</v>
      </c>
      <c r="C33" s="23" t="n">
        <v>8765901.049899999</v>
      </c>
      <c r="D33" s="20">
        <f>C33/B33/Допущения!$B$17</f>
        <v/>
      </c>
      <c r="E33" s="26">
        <f>IFERROR(D33/$D$35,0)</f>
        <v/>
      </c>
    </row>
    <row r="34">
      <c r="A34" s="6" t="inlineStr">
        <is>
          <t>(нет сегмента)</t>
        </is>
      </c>
      <c r="B34" s="22" t="n">
        <v>42253</v>
      </c>
      <c r="C34" s="23" t="n">
        <v>6449062.4</v>
      </c>
      <c r="D34" s="20">
        <f>C34/B34/Допущения!$B$17</f>
        <v/>
      </c>
      <c r="E34" s="26">
        <f>IFERROR(D34/$D$35,0)</f>
        <v/>
      </c>
    </row>
    <row r="35">
      <c r="A35" s="27" t="inlineStr">
        <is>
          <t>ИТОГО</t>
        </is>
      </c>
      <c r="B35" s="28">
        <f>SUM(B31:B34)</f>
        <v/>
      </c>
      <c r="C35" s="29">
        <f>SUM(C31:C34)</f>
        <v/>
      </c>
      <c r="D35" s="30">
        <f>C35/B35/Допущения!$B$17</f>
        <v/>
      </c>
      <c r="E35" s="31">
        <f>IFERROR(D35/$D$35,0)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20" customWidth="1" min="12" max="12"/>
  </cols>
  <sheetData>
    <row r="1">
      <c r="A1" s="1" t="inlineStr">
        <is>
          <t>Вход: валовая выручка по тирам и месяцам 2026 года</t>
        </is>
      </c>
    </row>
    <row r="2">
      <c r="A2" s="2" t="inlineStr">
        <is>
          <t>ПЛЕЙСХОЛДЕР — заменить фактической выгрузкой ВВ по пользователям</t>
        </is>
      </c>
    </row>
    <row r="3" ht="44" customHeight="1">
      <c r="A3" s="32" t="inlineStr">
        <is>
          <t>ВНИМАНИЕ: числа ниже — НЕ ФАКТ. Выгрузка фактической ВВ по пользователям с начала 2026 года запрошена у аналитиков и ещё не получена. Плейсхолдер засеян логнормальным распределением (средняя ВВ 2 614 ₽/мес из агрегатов АСР  log-СКО 1.2) только чтобы модель считалась и её можно было проверить. Пересборка при получении файла: scripts/build_model.py --revenue &lt;файл.xlsx&gt;</t>
        </is>
      </c>
    </row>
    <row r="5" ht="30" customHeight="1">
      <c r="A5" s="5" t="inlineStr">
        <is>
          <t>Месяц</t>
        </is>
      </c>
      <c r="B5" s="5" t="inlineStr">
        <is>
          <t>Статус</t>
        </is>
      </c>
      <c r="C5" s="5" t="inlineStr">
        <is>
          <t>Юзеров: 🌱 Старт</t>
        </is>
      </c>
      <c r="D5" s="5" t="inlineStr">
        <is>
          <t>Юзеров: 🌿 Росток</t>
        </is>
      </c>
      <c r="E5" s="5" t="inlineStr">
        <is>
          <t>Юзеров: 🌳 Дерево</t>
        </is>
      </c>
      <c r="F5" s="5" t="inlineStr">
        <is>
          <t>Юзеров: 🌲 Лес</t>
        </is>
      </c>
      <c r="G5" s="5" t="inlineStr">
        <is>
          <t>ВВ/юзер/мес: 🌱 Старт</t>
        </is>
      </c>
      <c r="H5" s="5" t="inlineStr">
        <is>
          <t>ВВ/юзер/мес: 🌿 Росток</t>
        </is>
      </c>
      <c r="I5" s="5" t="inlineStr">
        <is>
          <t>ВВ/юзер/мес: 🌳 Дерево</t>
        </is>
      </c>
      <c r="J5" s="5" t="inlineStr">
        <is>
          <t>ВВ/юзер/мес: 🌲 Лес</t>
        </is>
      </c>
      <c r="K5" s="5" t="inlineStr">
        <is>
          <t>Всего юзеров</t>
        </is>
      </c>
      <c r="L5" s="5" t="inlineStr">
        <is>
          <t>ВВ когорты, ₽/мес</t>
        </is>
      </c>
    </row>
    <row r="6">
      <c r="A6" s="33" t="inlineStr">
        <is>
          <t>2026-01</t>
        </is>
      </c>
      <c r="B6" s="34">
        <f>IF(1&lt;=Допущения!$B$20,"в окне выгрузки","прогноз")</f>
        <v/>
      </c>
      <c r="C6" s="35" t="n">
        <v>189856</v>
      </c>
      <c r="D6" s="35" t="n">
        <v>51441</v>
      </c>
      <c r="E6" s="35" t="n">
        <v>6938</v>
      </c>
      <c r="F6" s="35" t="n">
        <v>715</v>
      </c>
      <c r="G6" s="7" t="n">
        <v>1075</v>
      </c>
      <c r="H6" s="7" t="n">
        <v>5501</v>
      </c>
      <c r="I6" s="7" t="n">
        <v>18036</v>
      </c>
      <c r="J6" s="7" t="n">
        <v>53826</v>
      </c>
      <c r="K6" s="36">
        <f>SUM(C6:F6)</f>
        <v/>
      </c>
      <c r="L6" s="25">
        <f>SUMPRODUCT(C6:F6,G6:J6)</f>
        <v/>
      </c>
    </row>
    <row r="7">
      <c r="A7" s="33" t="inlineStr">
        <is>
          <t>2026-02</t>
        </is>
      </c>
      <c r="B7" s="34">
        <f>IF(2&lt;=Допущения!$B$20,"в окне выгрузки","прогноз")</f>
        <v/>
      </c>
      <c r="C7" s="35" t="n">
        <v>189856</v>
      </c>
      <c r="D7" s="35" t="n">
        <v>51441</v>
      </c>
      <c r="E7" s="35" t="n">
        <v>6938</v>
      </c>
      <c r="F7" s="35" t="n">
        <v>715</v>
      </c>
      <c r="G7" s="7" t="n">
        <v>1075</v>
      </c>
      <c r="H7" s="7" t="n">
        <v>5501</v>
      </c>
      <c r="I7" s="7" t="n">
        <v>18036</v>
      </c>
      <c r="J7" s="7" t="n">
        <v>53826</v>
      </c>
      <c r="K7" s="36">
        <f>SUM(C7:F7)</f>
        <v/>
      </c>
      <c r="L7" s="25">
        <f>SUMPRODUCT(C7:F7,G7:J7)</f>
        <v/>
      </c>
    </row>
    <row r="8">
      <c r="A8" s="33" t="inlineStr">
        <is>
          <t>2026-03</t>
        </is>
      </c>
      <c r="B8" s="34">
        <f>IF(3&lt;=Допущения!$B$20,"в окне выгрузки","прогноз")</f>
        <v/>
      </c>
      <c r="C8" s="35" t="n">
        <v>189856</v>
      </c>
      <c r="D8" s="35" t="n">
        <v>51441</v>
      </c>
      <c r="E8" s="35" t="n">
        <v>6938</v>
      </c>
      <c r="F8" s="35" t="n">
        <v>715</v>
      </c>
      <c r="G8" s="7" t="n">
        <v>1075</v>
      </c>
      <c r="H8" s="7" t="n">
        <v>5501</v>
      </c>
      <c r="I8" s="7" t="n">
        <v>18036</v>
      </c>
      <c r="J8" s="7" t="n">
        <v>53826</v>
      </c>
      <c r="K8" s="36">
        <f>SUM(C8:F8)</f>
        <v/>
      </c>
      <c r="L8" s="25">
        <f>SUMPRODUCT(C8:F8,G8:J8)</f>
        <v/>
      </c>
    </row>
    <row r="9">
      <c r="A9" s="33" t="inlineStr">
        <is>
          <t>2026-04</t>
        </is>
      </c>
      <c r="B9" s="34">
        <f>IF(4&lt;=Допущения!$B$20,"в окне выгрузки","прогноз")</f>
        <v/>
      </c>
      <c r="C9" s="35" t="n">
        <v>189856</v>
      </c>
      <c r="D9" s="35" t="n">
        <v>51441</v>
      </c>
      <c r="E9" s="35" t="n">
        <v>6938</v>
      </c>
      <c r="F9" s="35" t="n">
        <v>715</v>
      </c>
      <c r="G9" s="7" t="n">
        <v>1075</v>
      </c>
      <c r="H9" s="7" t="n">
        <v>5501</v>
      </c>
      <c r="I9" s="7" t="n">
        <v>18036</v>
      </c>
      <c r="J9" s="7" t="n">
        <v>53826</v>
      </c>
      <c r="K9" s="36">
        <f>SUM(C9:F9)</f>
        <v/>
      </c>
      <c r="L9" s="25">
        <f>SUMPRODUCT(C9:F9,G9:J9)</f>
        <v/>
      </c>
    </row>
    <row r="10">
      <c r="A10" s="33" t="inlineStr">
        <is>
          <t>2026-05</t>
        </is>
      </c>
      <c r="B10" s="34">
        <f>IF(5&lt;=Допущения!$B$20,"в окне выгрузки","прогноз")</f>
        <v/>
      </c>
      <c r="C10" s="35" t="n">
        <v>189856</v>
      </c>
      <c r="D10" s="35" t="n">
        <v>51441</v>
      </c>
      <c r="E10" s="35" t="n">
        <v>6938</v>
      </c>
      <c r="F10" s="35" t="n">
        <v>715</v>
      </c>
      <c r="G10" s="7" t="n">
        <v>1075</v>
      </c>
      <c r="H10" s="7" t="n">
        <v>5501</v>
      </c>
      <c r="I10" s="7" t="n">
        <v>18036</v>
      </c>
      <c r="J10" s="7" t="n">
        <v>53826</v>
      </c>
      <c r="K10" s="36">
        <f>SUM(C10:F10)</f>
        <v/>
      </c>
      <c r="L10" s="25">
        <f>SUMPRODUCT(C10:F10,G10:J10)</f>
        <v/>
      </c>
    </row>
    <row r="11">
      <c r="A11" s="33" t="inlineStr">
        <is>
          <t>2026-06</t>
        </is>
      </c>
      <c r="B11" s="34">
        <f>IF(6&lt;=Допущения!$B$20,"в окне выгрузки","прогноз")</f>
        <v/>
      </c>
      <c r="C11" s="35" t="n">
        <v>189856</v>
      </c>
      <c r="D11" s="35" t="n">
        <v>51441</v>
      </c>
      <c r="E11" s="35" t="n">
        <v>6938</v>
      </c>
      <c r="F11" s="35" t="n">
        <v>715</v>
      </c>
      <c r="G11" s="7" t="n">
        <v>1075</v>
      </c>
      <c r="H11" s="7" t="n">
        <v>5501</v>
      </c>
      <c r="I11" s="7" t="n">
        <v>18036</v>
      </c>
      <c r="J11" s="7" t="n">
        <v>53826</v>
      </c>
      <c r="K11" s="36">
        <f>SUM(C11:F11)</f>
        <v/>
      </c>
      <c r="L11" s="25">
        <f>SUMPRODUCT(C11:F11,G11:J11)</f>
        <v/>
      </c>
    </row>
    <row r="12">
      <c r="A12" s="33" t="inlineStr">
        <is>
          <t>2026-07</t>
        </is>
      </c>
      <c r="B12" s="34">
        <f>IF(7&lt;=Допущения!$B$20,"в окне выгрузки","прогноз")</f>
        <v/>
      </c>
      <c r="C12" s="35" t="n">
        <v>189856</v>
      </c>
      <c r="D12" s="35" t="n">
        <v>51441</v>
      </c>
      <c r="E12" s="35" t="n">
        <v>6938</v>
      </c>
      <c r="F12" s="35" t="n">
        <v>715</v>
      </c>
      <c r="G12" s="7" t="n">
        <v>1075</v>
      </c>
      <c r="H12" s="7" t="n">
        <v>5501</v>
      </c>
      <c r="I12" s="7" t="n">
        <v>18036</v>
      </c>
      <c r="J12" s="7" t="n">
        <v>53826</v>
      </c>
      <c r="K12" s="36">
        <f>SUM(C12:F12)</f>
        <v/>
      </c>
      <c r="L12" s="25">
        <f>SUMPRODUCT(C12:F12,G12:J12)</f>
        <v/>
      </c>
    </row>
    <row r="13">
      <c r="A13" s="33" t="inlineStr">
        <is>
          <t>2026-08</t>
        </is>
      </c>
      <c r="B13" s="34">
        <f>IF(8&lt;=Допущения!$B$20,"в окне выгрузки","прогноз")</f>
        <v/>
      </c>
      <c r="C13" s="35" t="n">
        <v>189856</v>
      </c>
      <c r="D13" s="35" t="n">
        <v>51441</v>
      </c>
      <c r="E13" s="35" t="n">
        <v>6938</v>
      </c>
      <c r="F13" s="35" t="n">
        <v>715</v>
      </c>
      <c r="G13" s="7" t="n">
        <v>1075</v>
      </c>
      <c r="H13" s="7" t="n">
        <v>5501</v>
      </c>
      <c r="I13" s="7" t="n">
        <v>18036</v>
      </c>
      <c r="J13" s="7" t="n">
        <v>53826</v>
      </c>
      <c r="K13" s="36">
        <f>SUM(C13:F13)</f>
        <v/>
      </c>
      <c r="L13" s="25">
        <f>SUMPRODUCT(C13:F13,G13:J13)</f>
        <v/>
      </c>
    </row>
    <row r="14">
      <c r="A14" s="33" t="inlineStr">
        <is>
          <t>2026-09</t>
        </is>
      </c>
      <c r="B14" s="34">
        <f>IF(9&lt;=Допущения!$B$20,"в окне выгрузки","прогноз")</f>
        <v/>
      </c>
      <c r="C14" s="35" t="n">
        <v>189856</v>
      </c>
      <c r="D14" s="35" t="n">
        <v>51441</v>
      </c>
      <c r="E14" s="35" t="n">
        <v>6938</v>
      </c>
      <c r="F14" s="35" t="n">
        <v>715</v>
      </c>
      <c r="G14" s="7" t="n">
        <v>1075</v>
      </c>
      <c r="H14" s="7" t="n">
        <v>5501</v>
      </c>
      <c r="I14" s="7" t="n">
        <v>18036</v>
      </c>
      <c r="J14" s="7" t="n">
        <v>53826</v>
      </c>
      <c r="K14" s="36">
        <f>SUM(C14:F14)</f>
        <v/>
      </c>
      <c r="L14" s="25">
        <f>SUMPRODUCT(C14:F14,G14:J14)</f>
        <v/>
      </c>
    </row>
    <row r="15">
      <c r="A15" s="33" t="inlineStr">
        <is>
          <t>2026-10</t>
        </is>
      </c>
      <c r="B15" s="34">
        <f>IF(10&lt;=Допущения!$B$20,"в окне выгрузки","прогноз")</f>
        <v/>
      </c>
      <c r="C15" s="35" t="n">
        <v>189856</v>
      </c>
      <c r="D15" s="35" t="n">
        <v>51441</v>
      </c>
      <c r="E15" s="35" t="n">
        <v>6938</v>
      </c>
      <c r="F15" s="35" t="n">
        <v>715</v>
      </c>
      <c r="G15" s="7" t="n">
        <v>1075</v>
      </c>
      <c r="H15" s="7" t="n">
        <v>5501</v>
      </c>
      <c r="I15" s="7" t="n">
        <v>18036</v>
      </c>
      <c r="J15" s="7" t="n">
        <v>53826</v>
      </c>
      <c r="K15" s="36">
        <f>SUM(C15:F15)</f>
        <v/>
      </c>
      <c r="L15" s="25">
        <f>SUMPRODUCT(C15:F15,G15:J15)</f>
        <v/>
      </c>
    </row>
    <row r="16">
      <c r="A16" s="33" t="inlineStr">
        <is>
          <t>2026-11</t>
        </is>
      </c>
      <c r="B16" s="34">
        <f>IF(11&lt;=Допущения!$B$20,"в окне выгрузки","прогноз")</f>
        <v/>
      </c>
      <c r="C16" s="35" t="n">
        <v>189856</v>
      </c>
      <c r="D16" s="35" t="n">
        <v>51441</v>
      </c>
      <c r="E16" s="35" t="n">
        <v>6938</v>
      </c>
      <c r="F16" s="35" t="n">
        <v>715</v>
      </c>
      <c r="G16" s="7" t="n">
        <v>1075</v>
      </c>
      <c r="H16" s="7" t="n">
        <v>5501</v>
      </c>
      <c r="I16" s="7" t="n">
        <v>18036</v>
      </c>
      <c r="J16" s="7" t="n">
        <v>53826</v>
      </c>
      <c r="K16" s="36">
        <f>SUM(C16:F16)</f>
        <v/>
      </c>
      <c r="L16" s="25">
        <f>SUMPRODUCT(C16:F16,G16:J16)</f>
        <v/>
      </c>
    </row>
    <row r="17">
      <c r="A17" s="33" t="inlineStr">
        <is>
          <t>2026-12</t>
        </is>
      </c>
      <c r="B17" s="34">
        <f>IF(12&lt;=Допущения!$B$20,"в окне выгрузки","прогноз")</f>
        <v/>
      </c>
      <c r="C17" s="35" t="n">
        <v>189856</v>
      </c>
      <c r="D17" s="35" t="n">
        <v>51441</v>
      </c>
      <c r="E17" s="35" t="n">
        <v>6938</v>
      </c>
      <c r="F17" s="35" t="n">
        <v>715</v>
      </c>
      <c r="G17" s="7" t="n">
        <v>1075</v>
      </c>
      <c r="H17" s="7" t="n">
        <v>5501</v>
      </c>
      <c r="I17" s="7" t="n">
        <v>18036</v>
      </c>
      <c r="J17" s="7" t="n">
        <v>53826</v>
      </c>
      <c r="K17" s="36">
        <f>SUM(C17:F17)</f>
        <v/>
      </c>
      <c r="L17" s="25">
        <f>SUMPRODUCT(C17:F17,G17:J17)</f>
        <v/>
      </c>
    </row>
    <row r="18">
      <c r="A18" s="27" t="inlineStr">
        <is>
          <t>ИТОГО</t>
        </is>
      </c>
      <c r="B18" s="37" t="inlineStr">
        <is>
          <t>за 2026 год</t>
        </is>
      </c>
      <c r="C18" s="28">
        <f>AVERAGE(C6:C17)</f>
        <v/>
      </c>
      <c r="D18" s="28">
        <f>AVERAGE(D6:D17)</f>
        <v/>
      </c>
      <c r="E18" s="28">
        <f>AVERAGE(E6:E17)</f>
        <v/>
      </c>
      <c r="F18" s="28">
        <f>AVERAGE(F6:F17)</f>
        <v/>
      </c>
      <c r="G18" s="29">
        <f>IFERROR(SUMPRODUCT(C6:C17,G6:G17)/SUM(C6:C17),0)</f>
        <v/>
      </c>
      <c r="H18" s="29">
        <f>IFERROR(SUMPRODUCT(D6:D17,H6:H17)/SUM(D6:D17),0)</f>
        <v/>
      </c>
      <c r="I18" s="29">
        <f>IFERROR(SUMPRODUCT(E6:E17,I6:I17)/SUM(E6:E17),0)</f>
        <v/>
      </c>
      <c r="J18" s="29">
        <f>IFERROR(SUMPRODUCT(F6:F17,J6:J17)/SUM(F6:F17),0)</f>
        <v/>
      </c>
      <c r="K18" s="28">
        <f>AVERAGE(K6:K17)</f>
        <v/>
      </c>
      <c r="L18" s="29">
        <f>SUM(L6:L17)</f>
        <v/>
      </c>
    </row>
    <row r="20">
      <c r="A20" s="9" t="inlineStr">
        <is>
          <t>Легенда: жёлтые ячейки C6:J17 — единственное, что нужно править вручную (или пересобрать скриптом). Всё остальное в книге — формулы от них.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20" customWidth="1" min="7" max="7"/>
  </cols>
  <sheetData>
    <row r="1">
      <c r="A1" s="1" t="inlineStr">
        <is>
          <t>Unit-экономика: один пользователь за один месяц</t>
        </is>
      </c>
    </row>
    <row r="2">
      <c r="A2" s="2" t="inlineStr">
        <is>
          <t>Базовая единица модели. Тиры и периоды на листе «Тир_Период» — это юнит × число юзеров.</t>
        </is>
      </c>
    </row>
    <row r="4" ht="30" customHeight="1">
      <c r="A4" s="5" t="inlineStr">
        <is>
          <t>Показатель</t>
        </is>
      </c>
      <c r="B4" s="5" t="inlineStr">
        <is>
          <t>Ед.</t>
        </is>
      </c>
      <c r="C4" s="5" t="inlineStr">
        <is>
          <t>🌱 Старт</t>
        </is>
      </c>
      <c r="D4" s="5" t="inlineStr">
        <is>
          <t>🌿 Росток</t>
        </is>
      </c>
      <c r="E4" s="5" t="inlineStr">
        <is>
          <t>🌳 Дерево</t>
        </is>
      </c>
      <c r="F4" s="5" t="inlineStr">
        <is>
          <t>🌲 Лес</t>
        </is>
      </c>
      <c r="G4" s="5" t="inlineStr">
        <is>
          <t>Средневзв. по когорте</t>
        </is>
      </c>
    </row>
    <row r="5">
      <c r="A5" s="6" t="inlineStr">
        <is>
          <t>Множитель бонуса тира</t>
        </is>
      </c>
      <c r="B5" s="38" t="inlineStr">
        <is>
          <t>×</t>
        </is>
      </c>
      <c r="C5" s="39">
        <f>Допущения!$D$6</f>
        <v/>
      </c>
      <c r="D5" s="39">
        <f>Допущения!$D$7</f>
        <v/>
      </c>
      <c r="E5" s="39">
        <f>Допущения!$D$8</f>
        <v/>
      </c>
      <c r="F5" s="39">
        <f>Допущения!$D$9</f>
        <v/>
      </c>
      <c r="G5" s="40">
        <f>IFERROR(SUMPRODUCT(C6:F6,C5:F5)/G6,0)</f>
        <v/>
      </c>
    </row>
    <row r="6">
      <c r="A6" s="6" t="inlineStr">
        <is>
          <t>Юзеров в тире (среднее за месяц 2026)</t>
        </is>
      </c>
      <c r="B6" s="38" t="inlineStr">
        <is>
          <t>чел</t>
        </is>
      </c>
      <c r="C6" s="41">
        <f>Выручка_вход!C$18</f>
        <v/>
      </c>
      <c r="D6" s="41">
        <f>Выручка_вход!D$18</f>
        <v/>
      </c>
      <c r="E6" s="41">
        <f>Выручка_вход!E$18</f>
        <v/>
      </c>
      <c r="F6" s="41">
        <f>Выручка_вход!F$18</f>
        <v/>
      </c>
      <c r="G6" s="28">
        <f>SUM(C6:F6)</f>
        <v/>
      </c>
    </row>
    <row r="7">
      <c r="A7" s="6" t="inlineStr">
        <is>
          <t>ДОХОД: валовая выручка</t>
        </is>
      </c>
      <c r="B7" s="38" t="inlineStr">
        <is>
          <t>₽/юзер/мес</t>
        </is>
      </c>
      <c r="C7" s="42">
        <f>Выручка_вход!G$18</f>
        <v/>
      </c>
      <c r="D7" s="42">
        <f>Выручка_вход!H$18</f>
        <v/>
      </c>
      <c r="E7" s="42">
        <f>Выручка_вход!I$18</f>
        <v/>
      </c>
      <c r="F7" s="42">
        <f>Выручка_вход!J$18</f>
        <v/>
      </c>
      <c r="G7" s="29">
        <f>IFERROR(SUMPRODUCT(C7:F7,C6:F6)/G6,0)</f>
        <v/>
      </c>
    </row>
    <row r="8">
      <c r="A8" s="6" t="inlineStr">
        <is>
          <t>ДОХОД: грязная маржа</t>
        </is>
      </c>
      <c r="B8" s="38" t="inlineStr">
        <is>
          <t>₽/юзер/мес</t>
        </is>
      </c>
      <c r="C8" s="25">
        <f>C7*Допущения!$B$14</f>
        <v/>
      </c>
      <c r="D8" s="25">
        <f>D7*Допущения!$B$14</f>
        <v/>
      </c>
      <c r="E8" s="25">
        <f>E7*Допущения!$B$14</f>
        <v/>
      </c>
      <c r="F8" s="25">
        <f>F7*Допущения!$B$14</f>
        <v/>
      </c>
      <c r="G8" s="29">
        <f>IFERROR(SUMPRODUCT(C8:F8,C6:F6)/G6,0)</f>
        <v/>
      </c>
    </row>
    <row r="9">
      <c r="A9" s="6" t="inlineStr">
        <is>
          <t>РАСХОД: эко-бонус базовый (без механики)</t>
        </is>
      </c>
      <c r="B9" s="38" t="inlineStr">
        <is>
          <t>₽/юзер/мес</t>
        </is>
      </c>
      <c r="C9" s="43">
        <f>Допущения!$C$25</f>
        <v/>
      </c>
      <c r="D9" s="43">
        <f>Допущения!$C$26</f>
        <v/>
      </c>
      <c r="E9" s="43">
        <f>Допущения!$C$27</f>
        <v/>
      </c>
      <c r="F9" s="43">
        <f>Допущения!$C$28</f>
        <v/>
      </c>
      <c r="G9" s="30">
        <f>IFERROR(SUMPRODUCT(C9:F9,C6:F6)/G6,0)</f>
        <v/>
      </c>
    </row>
    <row r="10">
      <c r="A10" s="6" t="inlineStr">
        <is>
          <t>РАСХОД: эко-бонус с механикой</t>
        </is>
      </c>
      <c r="B10" s="38" t="inlineStr">
        <is>
          <t>₽/юзер/мес</t>
        </is>
      </c>
      <c r="C10" s="20">
        <f>C9*C5</f>
        <v/>
      </c>
      <c r="D10" s="20">
        <f>D9*D5</f>
        <v/>
      </c>
      <c r="E10" s="20">
        <f>E9*E5</f>
        <v/>
      </c>
      <c r="F10" s="20">
        <f>F9*F5</f>
        <v/>
      </c>
      <c r="G10" s="30">
        <f>IFERROR(SUMPRODUCT(C10:F10,C6:F6)/G6,0)</f>
        <v/>
      </c>
    </row>
    <row r="11">
      <c r="A11" s="6" t="inlineStr">
        <is>
          <t>РАСХОД: доплата от механики (Δ бонус)</t>
        </is>
      </c>
      <c r="B11" s="38" t="inlineStr">
        <is>
          <t>₽/юзер/мес</t>
        </is>
      </c>
      <c r="C11" s="20">
        <f>C10-C9</f>
        <v/>
      </c>
      <c r="D11" s="20">
        <f>D10-D9</f>
        <v/>
      </c>
      <c r="E11" s="20">
        <f>E10-E9</f>
        <v/>
      </c>
      <c r="F11" s="20">
        <f>F10-F9</f>
        <v/>
      </c>
      <c r="G11" s="30">
        <f>IFERROR(SUMPRODUCT(C11:F11,C6:F6)/G6,0)</f>
        <v/>
      </c>
    </row>
    <row r="12">
      <c r="A12" s="27" t="inlineStr">
        <is>
          <t>ВКЛАД: грязная маржа − бонус с механикой</t>
        </is>
      </c>
      <c r="B12" s="38" t="inlineStr">
        <is>
          <t>₽/юзер/мес</t>
        </is>
      </c>
      <c r="C12" s="29">
        <f>C8-C10</f>
        <v/>
      </c>
      <c r="D12" s="29">
        <f>D8-D10</f>
        <v/>
      </c>
      <c r="E12" s="29">
        <f>E8-E10</f>
        <v/>
      </c>
      <c r="F12" s="29">
        <f>F8-F10</f>
        <v/>
      </c>
      <c r="G12" s="29">
        <f>IFERROR(SUMPRODUCT(C12:F12,C6:F6)/G6,0)</f>
        <v/>
      </c>
    </row>
    <row r="13">
      <c r="A13" s="6" t="inlineStr">
        <is>
          <t>Бонус с механикой, % от грязной маржи</t>
        </is>
      </c>
      <c r="B13" s="38" t="inlineStr">
        <is>
          <t>%</t>
        </is>
      </c>
      <c r="C13" s="44">
        <f>IFERROR(C10/C8,0)</f>
        <v/>
      </c>
      <c r="D13" s="44">
        <f>IFERROR(D10/D8,0)</f>
        <v/>
      </c>
      <c r="E13" s="44">
        <f>IFERROR(E10/E8,0)</f>
        <v/>
      </c>
      <c r="F13" s="44">
        <f>IFERROR(F10/F8,0)</f>
        <v/>
      </c>
      <c r="G13" s="45">
        <f>IFERROR(G10/G8,0)</f>
        <v/>
      </c>
    </row>
    <row r="14">
      <c r="A14" s="6" t="inlineStr">
        <is>
          <t>Доплата, % от грязной маржи</t>
        </is>
      </c>
      <c r="B14" s="38" t="inlineStr">
        <is>
          <t>%</t>
        </is>
      </c>
      <c r="C14" s="44">
        <f>IFERROR(C11/C8,0)</f>
        <v/>
      </c>
      <c r="D14" s="44">
        <f>IFERROR(D11/D8,0)</f>
        <v/>
      </c>
      <c r="E14" s="44">
        <f>IFERROR(E11/E8,0)</f>
        <v/>
      </c>
      <c r="F14" s="44">
        <f>IFERROR(F11/F8,0)</f>
        <v/>
      </c>
      <c r="G14" s="45">
        <f>IFERROR(G11/G8,0)</f>
        <v/>
      </c>
    </row>
    <row r="15">
      <c r="A15" s="6" t="inlineStr">
        <is>
          <t>Доплата, % от валовой выручки</t>
        </is>
      </c>
      <c r="B15" s="38" t="inlineStr">
        <is>
          <t>%</t>
        </is>
      </c>
      <c r="C15" s="44">
        <f>IFERROR(C11/C7,0)</f>
        <v/>
      </c>
      <c r="D15" s="44">
        <f>IFERROR(D11/D7,0)</f>
        <v/>
      </c>
      <c r="E15" s="44">
        <f>IFERROR(E11/E7,0)</f>
        <v/>
      </c>
      <c r="F15" s="44">
        <f>IFERROR(F11/F7,0)</f>
        <v/>
      </c>
      <c r="G15" s="45">
        <f>IFERROR(G11/G7,0)</f>
        <v/>
      </c>
    </row>
    <row r="17">
      <c r="A17" s="3" t="inlineStr">
        <is>
          <t>Как читать</t>
        </is>
      </c>
    </row>
    <row r="18" ht="44" customHeight="1">
      <c r="A18" s="4" t="inlineStr">
        <is>
          <t>Строка «ВКЛАД» — сколько один пользователь тира приносит за месяц после всех бонусных затрат. Строка «Доплата, % от грязной маржи» — цена механики для этого тира: во что обходится повышенный коэффициент, если пользователь НЕ изменил поведение. Именно эта доплата, умноженная на число юзеров, даёт «слепые» затраты на листе «Тир_Период».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7" customWidth="1" min="14" max="14"/>
  </cols>
  <sheetData>
    <row r="1">
      <c r="A1" s="1" t="inlineStr">
        <is>
          <t>Разложение по тирам и месяцам 2026 года: доходы и расходы</t>
        </is>
      </c>
    </row>
    <row r="2">
      <c r="A2" s="2" t="inlineStr">
        <is>
          <t>Один блок на тир, снизу — ИТОГО по когорте. Столбцы — месяцы, N — итог за 2026 год.</t>
        </is>
      </c>
    </row>
    <row r="4">
      <c r="A4" s="3" t="inlineStr">
        <is>
          <t>Тир 🌱 Старт — ВВ/мес 0–3 000 ₽</t>
        </is>
      </c>
    </row>
    <row r="5">
      <c r="A5" s="21" t="inlineStr">
        <is>
          <t>Показатель</t>
        </is>
      </c>
      <c r="B5" s="21" t="inlineStr">
        <is>
          <t>2026-01</t>
        </is>
      </c>
      <c r="C5" s="21" t="inlineStr">
        <is>
          <t>2026-02</t>
        </is>
      </c>
      <c r="D5" s="21" t="inlineStr">
        <is>
          <t>2026-03</t>
        </is>
      </c>
      <c r="E5" s="21" t="inlineStr">
        <is>
          <t>2026-04</t>
        </is>
      </c>
      <c r="F5" s="21" t="inlineStr">
        <is>
          <t>2026-05</t>
        </is>
      </c>
      <c r="G5" s="21" t="inlineStr">
        <is>
          <t>2026-06</t>
        </is>
      </c>
      <c r="H5" s="21" t="inlineStr">
        <is>
          <t>2026-07</t>
        </is>
      </c>
      <c r="I5" s="21" t="inlineStr">
        <is>
          <t>2026-08</t>
        </is>
      </c>
      <c r="J5" s="21" t="inlineStr">
        <is>
          <t>2026-09</t>
        </is>
      </c>
      <c r="K5" s="21" t="inlineStr">
        <is>
          <t>2026-10</t>
        </is>
      </c>
      <c r="L5" s="21" t="inlineStr">
        <is>
          <t>2026-11</t>
        </is>
      </c>
      <c r="M5" s="21" t="inlineStr">
        <is>
          <t>2026-12</t>
        </is>
      </c>
      <c r="N5" s="21" t="inlineStr">
        <is>
          <t>2026 итого</t>
        </is>
      </c>
    </row>
    <row r="6">
      <c r="A6" s="6" t="inlineStr">
        <is>
          <t>Юзеров в тире</t>
        </is>
      </c>
      <c r="B6" s="36">
        <f>Выручка_вход!C6</f>
        <v/>
      </c>
      <c r="C6" s="36">
        <f>Выручка_вход!C7</f>
        <v/>
      </c>
      <c r="D6" s="36">
        <f>Выручка_вход!C8</f>
        <v/>
      </c>
      <c r="E6" s="36">
        <f>Выручка_вход!C9</f>
        <v/>
      </c>
      <c r="F6" s="36">
        <f>Выручка_вход!C10</f>
        <v/>
      </c>
      <c r="G6" s="36">
        <f>Выручка_вход!C11</f>
        <v/>
      </c>
      <c r="H6" s="36">
        <f>Выручка_вход!C12</f>
        <v/>
      </c>
      <c r="I6" s="36">
        <f>Выручка_вход!C13</f>
        <v/>
      </c>
      <c r="J6" s="36">
        <f>Выручка_вход!C14</f>
        <v/>
      </c>
      <c r="K6" s="36">
        <f>Выручка_вход!C15</f>
        <v/>
      </c>
      <c r="L6" s="36">
        <f>Выручка_вход!C16</f>
        <v/>
      </c>
      <c r="M6" s="36">
        <f>Выручка_вход!C17</f>
        <v/>
      </c>
      <c r="N6" s="28">
        <f>AVERAGE(B6:M6)</f>
        <v/>
      </c>
    </row>
    <row r="7">
      <c r="A7" s="6" t="inlineStr">
        <is>
          <t>Индекс месяца (эмиссия)</t>
        </is>
      </c>
      <c r="B7" s="26">
        <f>Допущения!B$34</f>
        <v/>
      </c>
      <c r="C7" s="26">
        <f>Допущения!C$34</f>
        <v/>
      </c>
      <c r="D7" s="26">
        <f>Допущения!D$34</f>
        <v/>
      </c>
      <c r="E7" s="26">
        <f>Допущения!E$34</f>
        <v/>
      </c>
      <c r="F7" s="26">
        <f>Допущения!F$34</f>
        <v/>
      </c>
      <c r="G7" s="26">
        <f>Допущения!G$34</f>
        <v/>
      </c>
      <c r="H7" s="26">
        <f>Допущения!H$34</f>
        <v/>
      </c>
      <c r="I7" s="26">
        <f>Допущения!I$34</f>
        <v/>
      </c>
      <c r="J7" s="26">
        <f>Допущения!J$34</f>
        <v/>
      </c>
      <c r="K7" s="26">
        <f>Допущения!K$34</f>
        <v/>
      </c>
      <c r="L7" s="26">
        <f>Допущения!L$34</f>
        <v/>
      </c>
      <c r="M7" s="26">
        <f>Допущения!M$34</f>
        <v/>
      </c>
      <c r="N7" s="31">
        <f>AVERAGE(B7:M7)</f>
        <v/>
      </c>
    </row>
    <row r="8">
      <c r="A8" s="6" t="inlineStr">
        <is>
          <t>ДОХОД: валовая выручка, ₽</t>
        </is>
      </c>
      <c r="B8" s="25">
        <f>B6*Выручка_вход!G6</f>
        <v/>
      </c>
      <c r="C8" s="25">
        <f>C6*Выручка_вход!G7</f>
        <v/>
      </c>
      <c r="D8" s="25">
        <f>D6*Выручка_вход!G8</f>
        <v/>
      </c>
      <c r="E8" s="25">
        <f>E6*Выручка_вход!G9</f>
        <v/>
      </c>
      <c r="F8" s="25">
        <f>F6*Выручка_вход!G10</f>
        <v/>
      </c>
      <c r="G8" s="25">
        <f>G6*Выручка_вход!G11</f>
        <v/>
      </c>
      <c r="H8" s="25">
        <f>H6*Выручка_вход!G12</f>
        <v/>
      </c>
      <c r="I8" s="25">
        <f>I6*Выручка_вход!G13</f>
        <v/>
      </c>
      <c r="J8" s="25">
        <f>J6*Выручка_вход!G14</f>
        <v/>
      </c>
      <c r="K8" s="25">
        <f>K6*Выручка_вход!G15</f>
        <v/>
      </c>
      <c r="L8" s="25">
        <f>L6*Выручка_вход!G16</f>
        <v/>
      </c>
      <c r="M8" s="25">
        <f>M6*Выручка_вход!G17</f>
        <v/>
      </c>
      <c r="N8" s="29">
        <f>SUM(B8:M8)</f>
        <v/>
      </c>
    </row>
    <row r="9">
      <c r="A9" s="6" t="inlineStr">
        <is>
          <t>ДОХОД: грязная маржа, ₽</t>
        </is>
      </c>
      <c r="B9" s="25">
        <f>B8*Допущения!$B$14</f>
        <v/>
      </c>
      <c r="C9" s="25">
        <f>C8*Допущения!$B$14</f>
        <v/>
      </c>
      <c r="D9" s="25">
        <f>D8*Допущения!$B$14</f>
        <v/>
      </c>
      <c r="E9" s="25">
        <f>E8*Допущения!$B$14</f>
        <v/>
      </c>
      <c r="F9" s="25">
        <f>F8*Допущения!$B$14</f>
        <v/>
      </c>
      <c r="G9" s="25">
        <f>G8*Допущения!$B$14</f>
        <v/>
      </c>
      <c r="H9" s="25">
        <f>H8*Допущения!$B$14</f>
        <v/>
      </c>
      <c r="I9" s="25">
        <f>I8*Допущения!$B$14</f>
        <v/>
      </c>
      <c r="J9" s="25">
        <f>J8*Допущения!$B$14</f>
        <v/>
      </c>
      <c r="K9" s="25">
        <f>K8*Допущения!$B$14</f>
        <v/>
      </c>
      <c r="L9" s="25">
        <f>L8*Допущения!$B$14</f>
        <v/>
      </c>
      <c r="M9" s="25">
        <f>M8*Допущения!$B$14</f>
        <v/>
      </c>
      <c r="N9" s="29">
        <f>SUM(B9:M9)</f>
        <v/>
      </c>
    </row>
    <row r="10">
      <c r="A10" s="6" t="inlineStr">
        <is>
          <t>РАСХОД: эко-бонус базовый, ₽</t>
        </is>
      </c>
      <c r="B10" s="25">
        <f>B6*Допущения!$C$25*B7</f>
        <v/>
      </c>
      <c r="C10" s="25">
        <f>C6*Допущения!$C$25*C7</f>
        <v/>
      </c>
      <c r="D10" s="25">
        <f>D6*Допущения!$C$25*D7</f>
        <v/>
      </c>
      <c r="E10" s="25">
        <f>E6*Допущения!$C$25*E7</f>
        <v/>
      </c>
      <c r="F10" s="25">
        <f>F6*Допущения!$C$25*F7</f>
        <v/>
      </c>
      <c r="G10" s="25">
        <f>G6*Допущения!$C$25*G7</f>
        <v/>
      </c>
      <c r="H10" s="25">
        <f>H6*Допущения!$C$25*H7</f>
        <v/>
      </c>
      <c r="I10" s="25">
        <f>I6*Допущения!$C$25*I7</f>
        <v/>
      </c>
      <c r="J10" s="25">
        <f>J6*Допущения!$C$25*J7</f>
        <v/>
      </c>
      <c r="K10" s="25">
        <f>K6*Допущения!$C$25*K7</f>
        <v/>
      </c>
      <c r="L10" s="25">
        <f>L6*Допущения!$C$25*L7</f>
        <v/>
      </c>
      <c r="M10" s="25">
        <f>M6*Допущения!$C$25*M7</f>
        <v/>
      </c>
      <c r="N10" s="29">
        <f>SUM(B10:M10)</f>
        <v/>
      </c>
    </row>
    <row r="11">
      <c r="A11" s="6" t="inlineStr">
        <is>
          <t>РАСХОД: эко-бонус с механикой, ₽</t>
        </is>
      </c>
      <c r="B11" s="25">
        <f>B10*Допущения!$D$6</f>
        <v/>
      </c>
      <c r="C11" s="25">
        <f>C10*Допущения!$D$6</f>
        <v/>
      </c>
      <c r="D11" s="25">
        <f>D10*Допущения!$D$6</f>
        <v/>
      </c>
      <c r="E11" s="25">
        <f>E10*Допущения!$D$6</f>
        <v/>
      </c>
      <c r="F11" s="25">
        <f>F10*Допущения!$D$6</f>
        <v/>
      </c>
      <c r="G11" s="25">
        <f>G10*Допущения!$D$6</f>
        <v/>
      </c>
      <c r="H11" s="25">
        <f>H10*Допущения!$D$6</f>
        <v/>
      </c>
      <c r="I11" s="25">
        <f>I10*Допущения!$D$6</f>
        <v/>
      </c>
      <c r="J11" s="25">
        <f>J10*Допущения!$D$6</f>
        <v/>
      </c>
      <c r="K11" s="25">
        <f>K10*Допущения!$D$6</f>
        <v/>
      </c>
      <c r="L11" s="25">
        <f>L10*Допущения!$D$6</f>
        <v/>
      </c>
      <c r="M11" s="25">
        <f>M10*Допущения!$D$6</f>
        <v/>
      </c>
      <c r="N11" s="29">
        <f>SUM(B11:M11)</f>
        <v/>
      </c>
    </row>
    <row r="12">
      <c r="A12" s="6" t="inlineStr">
        <is>
          <t>РАСХОД: доплата от механики, ₽</t>
        </is>
      </c>
      <c r="B12" s="25">
        <f>B11-B10</f>
        <v/>
      </c>
      <c r="C12" s="25">
        <f>C11-C10</f>
        <v/>
      </c>
      <c r="D12" s="25">
        <f>D11-D10</f>
        <v/>
      </c>
      <c r="E12" s="25">
        <f>E11-E10</f>
        <v/>
      </c>
      <c r="F12" s="25">
        <f>F11-F10</f>
        <v/>
      </c>
      <c r="G12" s="25">
        <f>G11-G10</f>
        <v/>
      </c>
      <c r="H12" s="25">
        <f>H11-H10</f>
        <v/>
      </c>
      <c r="I12" s="25">
        <f>I11-I10</f>
        <v/>
      </c>
      <c r="J12" s="25">
        <f>J11-J10</f>
        <v/>
      </c>
      <c r="K12" s="25">
        <f>K11-K10</f>
        <v/>
      </c>
      <c r="L12" s="25">
        <f>L11-L10</f>
        <v/>
      </c>
      <c r="M12" s="25">
        <f>M11-M10</f>
        <v/>
      </c>
      <c r="N12" s="29">
        <f>SUM(B12:M12)</f>
        <v/>
      </c>
    </row>
    <row r="13">
      <c r="A13" s="27" t="inlineStr">
        <is>
          <t>ВКЛАД: маржа − бонус с механикой, ₽</t>
        </is>
      </c>
      <c r="B13" s="29">
        <f>B9-B11</f>
        <v/>
      </c>
      <c r="C13" s="29">
        <f>C9-C11</f>
        <v/>
      </c>
      <c r="D13" s="29">
        <f>D9-D11</f>
        <v/>
      </c>
      <c r="E13" s="29">
        <f>E9-E11</f>
        <v/>
      </c>
      <c r="F13" s="29">
        <f>F9-F11</f>
        <v/>
      </c>
      <c r="G13" s="29">
        <f>G9-G11</f>
        <v/>
      </c>
      <c r="H13" s="29">
        <f>H9-H11</f>
        <v/>
      </c>
      <c r="I13" s="29">
        <f>I9-I11</f>
        <v/>
      </c>
      <c r="J13" s="29">
        <f>J9-J11</f>
        <v/>
      </c>
      <c r="K13" s="29">
        <f>K9-K11</f>
        <v/>
      </c>
      <c r="L13" s="29">
        <f>L9-L11</f>
        <v/>
      </c>
      <c r="M13" s="29">
        <f>M9-M11</f>
        <v/>
      </c>
      <c r="N13" s="29">
        <f>SUM(B13:M13)</f>
        <v/>
      </c>
    </row>
    <row r="14">
      <c r="A14" s="6" t="inlineStr">
        <is>
          <t>Доплата, % от грязной маржи</t>
        </is>
      </c>
      <c r="B14" s="44">
        <f>IFERROR(B12/B9,0)</f>
        <v/>
      </c>
      <c r="C14" s="44">
        <f>IFERROR(C12/C9,0)</f>
        <v/>
      </c>
      <c r="D14" s="44">
        <f>IFERROR(D12/D9,0)</f>
        <v/>
      </c>
      <c r="E14" s="44">
        <f>IFERROR(E12/E9,0)</f>
        <v/>
      </c>
      <c r="F14" s="44">
        <f>IFERROR(F12/F9,0)</f>
        <v/>
      </c>
      <c r="G14" s="44">
        <f>IFERROR(G12/G9,0)</f>
        <v/>
      </c>
      <c r="H14" s="44">
        <f>IFERROR(H12/H9,0)</f>
        <v/>
      </c>
      <c r="I14" s="44">
        <f>IFERROR(I12/I9,0)</f>
        <v/>
      </c>
      <c r="J14" s="44">
        <f>IFERROR(J12/J9,0)</f>
        <v/>
      </c>
      <c r="K14" s="44">
        <f>IFERROR(K12/K9,0)</f>
        <v/>
      </c>
      <c r="L14" s="44">
        <f>IFERROR(L12/L9,0)</f>
        <v/>
      </c>
      <c r="M14" s="44">
        <f>IFERROR(M12/M9,0)</f>
        <v/>
      </c>
      <c r="N14" s="45">
        <f>IFERROR(N12/N9,0)</f>
        <v/>
      </c>
    </row>
    <row r="16">
      <c r="A16" s="3" t="inlineStr">
        <is>
          <t>Тир 🌿 Росток — ВВ/мес 3 000–12 000 ₽</t>
        </is>
      </c>
    </row>
    <row r="17">
      <c r="A17" s="21" t="inlineStr">
        <is>
          <t>Показатель</t>
        </is>
      </c>
      <c r="B17" s="21" t="inlineStr">
        <is>
          <t>2026-01</t>
        </is>
      </c>
      <c r="C17" s="21" t="inlineStr">
        <is>
          <t>2026-02</t>
        </is>
      </c>
      <c r="D17" s="21" t="inlineStr">
        <is>
          <t>2026-03</t>
        </is>
      </c>
      <c r="E17" s="21" t="inlineStr">
        <is>
          <t>2026-04</t>
        </is>
      </c>
      <c r="F17" s="21" t="inlineStr">
        <is>
          <t>2026-05</t>
        </is>
      </c>
      <c r="G17" s="21" t="inlineStr">
        <is>
          <t>2026-06</t>
        </is>
      </c>
      <c r="H17" s="21" t="inlineStr">
        <is>
          <t>2026-07</t>
        </is>
      </c>
      <c r="I17" s="21" t="inlineStr">
        <is>
          <t>2026-08</t>
        </is>
      </c>
      <c r="J17" s="21" t="inlineStr">
        <is>
          <t>2026-09</t>
        </is>
      </c>
      <c r="K17" s="21" t="inlineStr">
        <is>
          <t>2026-10</t>
        </is>
      </c>
      <c r="L17" s="21" t="inlineStr">
        <is>
          <t>2026-11</t>
        </is>
      </c>
      <c r="M17" s="21" t="inlineStr">
        <is>
          <t>2026-12</t>
        </is>
      </c>
      <c r="N17" s="21" t="inlineStr">
        <is>
          <t>2026 итого</t>
        </is>
      </c>
    </row>
    <row r="18">
      <c r="A18" s="6" t="inlineStr">
        <is>
          <t>Юзеров в тире</t>
        </is>
      </c>
      <c r="B18" s="36">
        <f>Выручка_вход!D6</f>
        <v/>
      </c>
      <c r="C18" s="36">
        <f>Выручка_вход!D7</f>
        <v/>
      </c>
      <c r="D18" s="36">
        <f>Выручка_вход!D8</f>
        <v/>
      </c>
      <c r="E18" s="36">
        <f>Выручка_вход!D9</f>
        <v/>
      </c>
      <c r="F18" s="36">
        <f>Выручка_вход!D10</f>
        <v/>
      </c>
      <c r="G18" s="36">
        <f>Выручка_вход!D11</f>
        <v/>
      </c>
      <c r="H18" s="36">
        <f>Выручка_вход!D12</f>
        <v/>
      </c>
      <c r="I18" s="36">
        <f>Выручка_вход!D13</f>
        <v/>
      </c>
      <c r="J18" s="36">
        <f>Выручка_вход!D14</f>
        <v/>
      </c>
      <c r="K18" s="36">
        <f>Выручка_вход!D15</f>
        <v/>
      </c>
      <c r="L18" s="36">
        <f>Выручка_вход!D16</f>
        <v/>
      </c>
      <c r="M18" s="36">
        <f>Выручка_вход!D17</f>
        <v/>
      </c>
      <c r="N18" s="28">
        <f>AVERAGE(B18:M18)</f>
        <v/>
      </c>
    </row>
    <row r="19">
      <c r="A19" s="6" t="inlineStr">
        <is>
          <t>Индекс месяца (эмиссия)</t>
        </is>
      </c>
      <c r="B19" s="26">
        <f>Допущения!B$34</f>
        <v/>
      </c>
      <c r="C19" s="26">
        <f>Допущения!C$34</f>
        <v/>
      </c>
      <c r="D19" s="26">
        <f>Допущения!D$34</f>
        <v/>
      </c>
      <c r="E19" s="26">
        <f>Допущения!E$34</f>
        <v/>
      </c>
      <c r="F19" s="26">
        <f>Допущения!F$34</f>
        <v/>
      </c>
      <c r="G19" s="26">
        <f>Допущения!G$34</f>
        <v/>
      </c>
      <c r="H19" s="26">
        <f>Допущения!H$34</f>
        <v/>
      </c>
      <c r="I19" s="26">
        <f>Допущения!I$34</f>
        <v/>
      </c>
      <c r="J19" s="26">
        <f>Допущения!J$34</f>
        <v/>
      </c>
      <c r="K19" s="26">
        <f>Допущения!K$34</f>
        <v/>
      </c>
      <c r="L19" s="26">
        <f>Допущения!L$34</f>
        <v/>
      </c>
      <c r="M19" s="26">
        <f>Допущения!M$34</f>
        <v/>
      </c>
      <c r="N19" s="31">
        <f>AVERAGE(B19:M19)</f>
        <v/>
      </c>
    </row>
    <row r="20">
      <c r="A20" s="6" t="inlineStr">
        <is>
          <t>ДОХОД: валовая выручка, ₽</t>
        </is>
      </c>
      <c r="B20" s="25">
        <f>B18*Выручка_вход!H6</f>
        <v/>
      </c>
      <c r="C20" s="25">
        <f>C18*Выручка_вход!H7</f>
        <v/>
      </c>
      <c r="D20" s="25">
        <f>D18*Выручка_вход!H8</f>
        <v/>
      </c>
      <c r="E20" s="25">
        <f>E18*Выручка_вход!H9</f>
        <v/>
      </c>
      <c r="F20" s="25">
        <f>F18*Выручка_вход!H10</f>
        <v/>
      </c>
      <c r="G20" s="25">
        <f>G18*Выручка_вход!H11</f>
        <v/>
      </c>
      <c r="H20" s="25">
        <f>H18*Выручка_вход!H12</f>
        <v/>
      </c>
      <c r="I20" s="25">
        <f>I18*Выручка_вход!H13</f>
        <v/>
      </c>
      <c r="J20" s="25">
        <f>J18*Выручка_вход!H14</f>
        <v/>
      </c>
      <c r="K20" s="25">
        <f>K18*Выручка_вход!H15</f>
        <v/>
      </c>
      <c r="L20" s="25">
        <f>L18*Выручка_вход!H16</f>
        <v/>
      </c>
      <c r="M20" s="25">
        <f>M18*Выручка_вход!H17</f>
        <v/>
      </c>
      <c r="N20" s="29">
        <f>SUM(B20:M20)</f>
        <v/>
      </c>
    </row>
    <row r="21">
      <c r="A21" s="6" t="inlineStr">
        <is>
          <t>ДОХОД: грязная маржа, ₽</t>
        </is>
      </c>
      <c r="B21" s="25">
        <f>B20*Допущения!$B$14</f>
        <v/>
      </c>
      <c r="C21" s="25">
        <f>C20*Допущения!$B$14</f>
        <v/>
      </c>
      <c r="D21" s="25">
        <f>D20*Допущения!$B$14</f>
        <v/>
      </c>
      <c r="E21" s="25">
        <f>E20*Допущения!$B$14</f>
        <v/>
      </c>
      <c r="F21" s="25">
        <f>F20*Допущения!$B$14</f>
        <v/>
      </c>
      <c r="G21" s="25">
        <f>G20*Допущения!$B$14</f>
        <v/>
      </c>
      <c r="H21" s="25">
        <f>H20*Допущения!$B$14</f>
        <v/>
      </c>
      <c r="I21" s="25">
        <f>I20*Допущения!$B$14</f>
        <v/>
      </c>
      <c r="J21" s="25">
        <f>J20*Допущения!$B$14</f>
        <v/>
      </c>
      <c r="K21" s="25">
        <f>K20*Допущения!$B$14</f>
        <v/>
      </c>
      <c r="L21" s="25">
        <f>L20*Допущения!$B$14</f>
        <v/>
      </c>
      <c r="M21" s="25">
        <f>M20*Допущения!$B$14</f>
        <v/>
      </c>
      <c r="N21" s="29">
        <f>SUM(B21:M21)</f>
        <v/>
      </c>
    </row>
    <row r="22">
      <c r="A22" s="6" t="inlineStr">
        <is>
          <t>РАСХОД: эко-бонус базовый, ₽</t>
        </is>
      </c>
      <c r="B22" s="25">
        <f>B18*Допущения!$C$26*B19</f>
        <v/>
      </c>
      <c r="C22" s="25">
        <f>C18*Допущения!$C$26*C19</f>
        <v/>
      </c>
      <c r="D22" s="25">
        <f>D18*Допущения!$C$26*D19</f>
        <v/>
      </c>
      <c r="E22" s="25">
        <f>E18*Допущения!$C$26*E19</f>
        <v/>
      </c>
      <c r="F22" s="25">
        <f>F18*Допущения!$C$26*F19</f>
        <v/>
      </c>
      <c r="G22" s="25">
        <f>G18*Допущения!$C$26*G19</f>
        <v/>
      </c>
      <c r="H22" s="25">
        <f>H18*Допущения!$C$26*H19</f>
        <v/>
      </c>
      <c r="I22" s="25">
        <f>I18*Допущения!$C$26*I19</f>
        <v/>
      </c>
      <c r="J22" s="25">
        <f>J18*Допущения!$C$26*J19</f>
        <v/>
      </c>
      <c r="K22" s="25">
        <f>K18*Допущения!$C$26*K19</f>
        <v/>
      </c>
      <c r="L22" s="25">
        <f>L18*Допущения!$C$26*L19</f>
        <v/>
      </c>
      <c r="M22" s="25">
        <f>M18*Допущения!$C$26*M19</f>
        <v/>
      </c>
      <c r="N22" s="29">
        <f>SUM(B22:M22)</f>
        <v/>
      </c>
    </row>
    <row r="23">
      <c r="A23" s="6" t="inlineStr">
        <is>
          <t>РАСХОД: эко-бонус с механикой, ₽</t>
        </is>
      </c>
      <c r="B23" s="25">
        <f>B22*Допущения!$D$7</f>
        <v/>
      </c>
      <c r="C23" s="25">
        <f>C22*Допущения!$D$7</f>
        <v/>
      </c>
      <c r="D23" s="25">
        <f>D22*Допущения!$D$7</f>
        <v/>
      </c>
      <c r="E23" s="25">
        <f>E22*Допущения!$D$7</f>
        <v/>
      </c>
      <c r="F23" s="25">
        <f>F22*Допущения!$D$7</f>
        <v/>
      </c>
      <c r="G23" s="25">
        <f>G22*Допущения!$D$7</f>
        <v/>
      </c>
      <c r="H23" s="25">
        <f>H22*Допущения!$D$7</f>
        <v/>
      </c>
      <c r="I23" s="25">
        <f>I22*Допущения!$D$7</f>
        <v/>
      </c>
      <c r="J23" s="25">
        <f>J22*Допущения!$D$7</f>
        <v/>
      </c>
      <c r="K23" s="25">
        <f>K22*Допущения!$D$7</f>
        <v/>
      </c>
      <c r="L23" s="25">
        <f>L22*Допущения!$D$7</f>
        <v/>
      </c>
      <c r="M23" s="25">
        <f>M22*Допущения!$D$7</f>
        <v/>
      </c>
      <c r="N23" s="29">
        <f>SUM(B23:M23)</f>
        <v/>
      </c>
    </row>
    <row r="24">
      <c r="A24" s="6" t="inlineStr">
        <is>
          <t>РАСХОД: доплата от механики, ₽</t>
        </is>
      </c>
      <c r="B24" s="25">
        <f>B23-B22</f>
        <v/>
      </c>
      <c r="C24" s="25">
        <f>C23-C22</f>
        <v/>
      </c>
      <c r="D24" s="25">
        <f>D23-D22</f>
        <v/>
      </c>
      <c r="E24" s="25">
        <f>E23-E22</f>
        <v/>
      </c>
      <c r="F24" s="25">
        <f>F23-F22</f>
        <v/>
      </c>
      <c r="G24" s="25">
        <f>G23-G22</f>
        <v/>
      </c>
      <c r="H24" s="25">
        <f>H23-H22</f>
        <v/>
      </c>
      <c r="I24" s="25">
        <f>I23-I22</f>
        <v/>
      </c>
      <c r="J24" s="25">
        <f>J23-J22</f>
        <v/>
      </c>
      <c r="K24" s="25">
        <f>K23-K22</f>
        <v/>
      </c>
      <c r="L24" s="25">
        <f>L23-L22</f>
        <v/>
      </c>
      <c r="M24" s="25">
        <f>M23-M22</f>
        <v/>
      </c>
      <c r="N24" s="29">
        <f>SUM(B24:M24)</f>
        <v/>
      </c>
    </row>
    <row r="25">
      <c r="A25" s="27" t="inlineStr">
        <is>
          <t>ВКЛАД: маржа − бонус с механикой, ₽</t>
        </is>
      </c>
      <c r="B25" s="29">
        <f>B21-B23</f>
        <v/>
      </c>
      <c r="C25" s="29">
        <f>C21-C23</f>
        <v/>
      </c>
      <c r="D25" s="29">
        <f>D21-D23</f>
        <v/>
      </c>
      <c r="E25" s="29">
        <f>E21-E23</f>
        <v/>
      </c>
      <c r="F25" s="29">
        <f>F21-F23</f>
        <v/>
      </c>
      <c r="G25" s="29">
        <f>G21-G23</f>
        <v/>
      </c>
      <c r="H25" s="29">
        <f>H21-H23</f>
        <v/>
      </c>
      <c r="I25" s="29">
        <f>I21-I23</f>
        <v/>
      </c>
      <c r="J25" s="29">
        <f>J21-J23</f>
        <v/>
      </c>
      <c r="K25" s="29">
        <f>K21-K23</f>
        <v/>
      </c>
      <c r="L25" s="29">
        <f>L21-L23</f>
        <v/>
      </c>
      <c r="M25" s="29">
        <f>M21-M23</f>
        <v/>
      </c>
      <c r="N25" s="29">
        <f>SUM(B25:M25)</f>
        <v/>
      </c>
    </row>
    <row r="26">
      <c r="A26" s="6" t="inlineStr">
        <is>
          <t>Доплата, % от грязной маржи</t>
        </is>
      </c>
      <c r="B26" s="44">
        <f>IFERROR(B24/B21,0)</f>
        <v/>
      </c>
      <c r="C26" s="44">
        <f>IFERROR(C24/C21,0)</f>
        <v/>
      </c>
      <c r="D26" s="44">
        <f>IFERROR(D24/D21,0)</f>
        <v/>
      </c>
      <c r="E26" s="44">
        <f>IFERROR(E24/E21,0)</f>
        <v/>
      </c>
      <c r="F26" s="44">
        <f>IFERROR(F24/F21,0)</f>
        <v/>
      </c>
      <c r="G26" s="44">
        <f>IFERROR(G24/G21,0)</f>
        <v/>
      </c>
      <c r="H26" s="44">
        <f>IFERROR(H24/H21,0)</f>
        <v/>
      </c>
      <c r="I26" s="44">
        <f>IFERROR(I24/I21,0)</f>
        <v/>
      </c>
      <c r="J26" s="44">
        <f>IFERROR(J24/J21,0)</f>
        <v/>
      </c>
      <c r="K26" s="44">
        <f>IFERROR(K24/K21,0)</f>
        <v/>
      </c>
      <c r="L26" s="44">
        <f>IFERROR(L24/L21,0)</f>
        <v/>
      </c>
      <c r="M26" s="44">
        <f>IFERROR(M24/M21,0)</f>
        <v/>
      </c>
      <c r="N26" s="45">
        <f>IFERROR(N24/N21,0)</f>
        <v/>
      </c>
    </row>
    <row r="28">
      <c r="A28" s="3" t="inlineStr">
        <is>
          <t>Тир 🌳 Дерево — ВВ/мес 12 000–35 000 ₽</t>
        </is>
      </c>
    </row>
    <row r="29">
      <c r="A29" s="21" t="inlineStr">
        <is>
          <t>Показатель</t>
        </is>
      </c>
      <c r="B29" s="21" t="inlineStr">
        <is>
          <t>2026-01</t>
        </is>
      </c>
      <c r="C29" s="21" t="inlineStr">
        <is>
          <t>2026-02</t>
        </is>
      </c>
      <c r="D29" s="21" t="inlineStr">
        <is>
          <t>2026-03</t>
        </is>
      </c>
      <c r="E29" s="21" t="inlineStr">
        <is>
          <t>2026-04</t>
        </is>
      </c>
      <c r="F29" s="21" t="inlineStr">
        <is>
          <t>2026-05</t>
        </is>
      </c>
      <c r="G29" s="21" t="inlineStr">
        <is>
          <t>2026-06</t>
        </is>
      </c>
      <c r="H29" s="21" t="inlineStr">
        <is>
          <t>2026-07</t>
        </is>
      </c>
      <c r="I29" s="21" t="inlineStr">
        <is>
          <t>2026-08</t>
        </is>
      </c>
      <c r="J29" s="21" t="inlineStr">
        <is>
          <t>2026-09</t>
        </is>
      </c>
      <c r="K29" s="21" t="inlineStr">
        <is>
          <t>2026-10</t>
        </is>
      </c>
      <c r="L29" s="21" t="inlineStr">
        <is>
          <t>2026-11</t>
        </is>
      </c>
      <c r="M29" s="21" t="inlineStr">
        <is>
          <t>2026-12</t>
        </is>
      </c>
      <c r="N29" s="21" t="inlineStr">
        <is>
          <t>2026 итого</t>
        </is>
      </c>
    </row>
    <row r="30">
      <c r="A30" s="6" t="inlineStr">
        <is>
          <t>Юзеров в тире</t>
        </is>
      </c>
      <c r="B30" s="36">
        <f>Выручка_вход!E6</f>
        <v/>
      </c>
      <c r="C30" s="36">
        <f>Выручка_вход!E7</f>
        <v/>
      </c>
      <c r="D30" s="36">
        <f>Выручка_вход!E8</f>
        <v/>
      </c>
      <c r="E30" s="36">
        <f>Выручка_вход!E9</f>
        <v/>
      </c>
      <c r="F30" s="36">
        <f>Выручка_вход!E10</f>
        <v/>
      </c>
      <c r="G30" s="36">
        <f>Выручка_вход!E11</f>
        <v/>
      </c>
      <c r="H30" s="36">
        <f>Выручка_вход!E12</f>
        <v/>
      </c>
      <c r="I30" s="36">
        <f>Выручка_вход!E13</f>
        <v/>
      </c>
      <c r="J30" s="36">
        <f>Выручка_вход!E14</f>
        <v/>
      </c>
      <c r="K30" s="36">
        <f>Выручка_вход!E15</f>
        <v/>
      </c>
      <c r="L30" s="36">
        <f>Выручка_вход!E16</f>
        <v/>
      </c>
      <c r="M30" s="36">
        <f>Выручка_вход!E17</f>
        <v/>
      </c>
      <c r="N30" s="28">
        <f>AVERAGE(B30:M30)</f>
        <v/>
      </c>
    </row>
    <row r="31">
      <c r="A31" s="6" t="inlineStr">
        <is>
          <t>Индекс месяца (эмиссия)</t>
        </is>
      </c>
      <c r="B31" s="26">
        <f>Допущения!B$34</f>
        <v/>
      </c>
      <c r="C31" s="26">
        <f>Допущения!C$34</f>
        <v/>
      </c>
      <c r="D31" s="26">
        <f>Допущения!D$34</f>
        <v/>
      </c>
      <c r="E31" s="26">
        <f>Допущения!E$34</f>
        <v/>
      </c>
      <c r="F31" s="26">
        <f>Допущения!F$34</f>
        <v/>
      </c>
      <c r="G31" s="26">
        <f>Допущения!G$34</f>
        <v/>
      </c>
      <c r="H31" s="26">
        <f>Допущения!H$34</f>
        <v/>
      </c>
      <c r="I31" s="26">
        <f>Допущения!I$34</f>
        <v/>
      </c>
      <c r="J31" s="26">
        <f>Допущения!J$34</f>
        <v/>
      </c>
      <c r="K31" s="26">
        <f>Допущения!K$34</f>
        <v/>
      </c>
      <c r="L31" s="26">
        <f>Допущения!L$34</f>
        <v/>
      </c>
      <c r="M31" s="26">
        <f>Допущения!M$34</f>
        <v/>
      </c>
      <c r="N31" s="31">
        <f>AVERAGE(B31:M31)</f>
        <v/>
      </c>
    </row>
    <row r="32">
      <c r="A32" s="6" t="inlineStr">
        <is>
          <t>ДОХОД: валовая выручка, ₽</t>
        </is>
      </c>
      <c r="B32" s="25">
        <f>B30*Выручка_вход!I6</f>
        <v/>
      </c>
      <c r="C32" s="25">
        <f>C30*Выручка_вход!I7</f>
        <v/>
      </c>
      <c r="D32" s="25">
        <f>D30*Выручка_вход!I8</f>
        <v/>
      </c>
      <c r="E32" s="25">
        <f>E30*Выручка_вход!I9</f>
        <v/>
      </c>
      <c r="F32" s="25">
        <f>F30*Выручка_вход!I10</f>
        <v/>
      </c>
      <c r="G32" s="25">
        <f>G30*Выручка_вход!I11</f>
        <v/>
      </c>
      <c r="H32" s="25">
        <f>H30*Выручка_вход!I12</f>
        <v/>
      </c>
      <c r="I32" s="25">
        <f>I30*Выручка_вход!I13</f>
        <v/>
      </c>
      <c r="J32" s="25">
        <f>J30*Выручка_вход!I14</f>
        <v/>
      </c>
      <c r="K32" s="25">
        <f>K30*Выручка_вход!I15</f>
        <v/>
      </c>
      <c r="L32" s="25">
        <f>L30*Выручка_вход!I16</f>
        <v/>
      </c>
      <c r="M32" s="25">
        <f>M30*Выручка_вход!I17</f>
        <v/>
      </c>
      <c r="N32" s="29">
        <f>SUM(B32:M32)</f>
        <v/>
      </c>
    </row>
    <row r="33">
      <c r="A33" s="6" t="inlineStr">
        <is>
          <t>ДОХОД: грязная маржа, ₽</t>
        </is>
      </c>
      <c r="B33" s="25">
        <f>B32*Допущения!$B$14</f>
        <v/>
      </c>
      <c r="C33" s="25">
        <f>C32*Допущения!$B$14</f>
        <v/>
      </c>
      <c r="D33" s="25">
        <f>D32*Допущения!$B$14</f>
        <v/>
      </c>
      <c r="E33" s="25">
        <f>E32*Допущения!$B$14</f>
        <v/>
      </c>
      <c r="F33" s="25">
        <f>F32*Допущения!$B$14</f>
        <v/>
      </c>
      <c r="G33" s="25">
        <f>G32*Допущения!$B$14</f>
        <v/>
      </c>
      <c r="H33" s="25">
        <f>H32*Допущения!$B$14</f>
        <v/>
      </c>
      <c r="I33" s="25">
        <f>I32*Допущения!$B$14</f>
        <v/>
      </c>
      <c r="J33" s="25">
        <f>J32*Допущения!$B$14</f>
        <v/>
      </c>
      <c r="K33" s="25">
        <f>K32*Допущения!$B$14</f>
        <v/>
      </c>
      <c r="L33" s="25">
        <f>L32*Допущения!$B$14</f>
        <v/>
      </c>
      <c r="M33" s="25">
        <f>M32*Допущения!$B$14</f>
        <v/>
      </c>
      <c r="N33" s="29">
        <f>SUM(B33:M33)</f>
        <v/>
      </c>
    </row>
    <row r="34">
      <c r="A34" s="6" t="inlineStr">
        <is>
          <t>РАСХОД: эко-бонус базовый, ₽</t>
        </is>
      </c>
      <c r="B34" s="25">
        <f>B30*Допущения!$C$27*B31</f>
        <v/>
      </c>
      <c r="C34" s="25">
        <f>C30*Допущения!$C$27*C31</f>
        <v/>
      </c>
      <c r="D34" s="25">
        <f>D30*Допущения!$C$27*D31</f>
        <v/>
      </c>
      <c r="E34" s="25">
        <f>E30*Допущения!$C$27*E31</f>
        <v/>
      </c>
      <c r="F34" s="25">
        <f>F30*Допущения!$C$27*F31</f>
        <v/>
      </c>
      <c r="G34" s="25">
        <f>G30*Допущения!$C$27*G31</f>
        <v/>
      </c>
      <c r="H34" s="25">
        <f>H30*Допущения!$C$27*H31</f>
        <v/>
      </c>
      <c r="I34" s="25">
        <f>I30*Допущения!$C$27*I31</f>
        <v/>
      </c>
      <c r="J34" s="25">
        <f>J30*Допущения!$C$27*J31</f>
        <v/>
      </c>
      <c r="K34" s="25">
        <f>K30*Допущения!$C$27*K31</f>
        <v/>
      </c>
      <c r="L34" s="25">
        <f>L30*Допущения!$C$27*L31</f>
        <v/>
      </c>
      <c r="M34" s="25">
        <f>M30*Допущения!$C$27*M31</f>
        <v/>
      </c>
      <c r="N34" s="29">
        <f>SUM(B34:M34)</f>
        <v/>
      </c>
    </row>
    <row r="35">
      <c r="A35" s="6" t="inlineStr">
        <is>
          <t>РАСХОД: эко-бонус с механикой, ₽</t>
        </is>
      </c>
      <c r="B35" s="25">
        <f>B34*Допущения!$D$8</f>
        <v/>
      </c>
      <c r="C35" s="25">
        <f>C34*Допущения!$D$8</f>
        <v/>
      </c>
      <c r="D35" s="25">
        <f>D34*Допущения!$D$8</f>
        <v/>
      </c>
      <c r="E35" s="25">
        <f>E34*Допущения!$D$8</f>
        <v/>
      </c>
      <c r="F35" s="25">
        <f>F34*Допущения!$D$8</f>
        <v/>
      </c>
      <c r="G35" s="25">
        <f>G34*Допущения!$D$8</f>
        <v/>
      </c>
      <c r="H35" s="25">
        <f>H34*Допущения!$D$8</f>
        <v/>
      </c>
      <c r="I35" s="25">
        <f>I34*Допущения!$D$8</f>
        <v/>
      </c>
      <c r="J35" s="25">
        <f>J34*Допущения!$D$8</f>
        <v/>
      </c>
      <c r="K35" s="25">
        <f>K34*Допущения!$D$8</f>
        <v/>
      </c>
      <c r="L35" s="25">
        <f>L34*Допущения!$D$8</f>
        <v/>
      </c>
      <c r="M35" s="25">
        <f>M34*Допущения!$D$8</f>
        <v/>
      </c>
      <c r="N35" s="29">
        <f>SUM(B35:M35)</f>
        <v/>
      </c>
    </row>
    <row r="36">
      <c r="A36" s="6" t="inlineStr">
        <is>
          <t>РАСХОД: доплата от механики, ₽</t>
        </is>
      </c>
      <c r="B36" s="25">
        <f>B35-B34</f>
        <v/>
      </c>
      <c r="C36" s="25">
        <f>C35-C34</f>
        <v/>
      </c>
      <c r="D36" s="25">
        <f>D35-D34</f>
        <v/>
      </c>
      <c r="E36" s="25">
        <f>E35-E34</f>
        <v/>
      </c>
      <c r="F36" s="25">
        <f>F35-F34</f>
        <v/>
      </c>
      <c r="G36" s="25">
        <f>G35-G34</f>
        <v/>
      </c>
      <c r="H36" s="25">
        <f>H35-H34</f>
        <v/>
      </c>
      <c r="I36" s="25">
        <f>I35-I34</f>
        <v/>
      </c>
      <c r="J36" s="25">
        <f>J35-J34</f>
        <v/>
      </c>
      <c r="K36" s="25">
        <f>K35-K34</f>
        <v/>
      </c>
      <c r="L36" s="25">
        <f>L35-L34</f>
        <v/>
      </c>
      <c r="M36" s="25">
        <f>M35-M34</f>
        <v/>
      </c>
      <c r="N36" s="29">
        <f>SUM(B36:M36)</f>
        <v/>
      </c>
    </row>
    <row r="37">
      <c r="A37" s="27" t="inlineStr">
        <is>
          <t>ВКЛАД: маржа − бонус с механикой, ₽</t>
        </is>
      </c>
      <c r="B37" s="29">
        <f>B33-B35</f>
        <v/>
      </c>
      <c r="C37" s="29">
        <f>C33-C35</f>
        <v/>
      </c>
      <c r="D37" s="29">
        <f>D33-D35</f>
        <v/>
      </c>
      <c r="E37" s="29">
        <f>E33-E35</f>
        <v/>
      </c>
      <c r="F37" s="29">
        <f>F33-F35</f>
        <v/>
      </c>
      <c r="G37" s="29">
        <f>G33-G35</f>
        <v/>
      </c>
      <c r="H37" s="29">
        <f>H33-H35</f>
        <v/>
      </c>
      <c r="I37" s="29">
        <f>I33-I35</f>
        <v/>
      </c>
      <c r="J37" s="29">
        <f>J33-J35</f>
        <v/>
      </c>
      <c r="K37" s="29">
        <f>K33-K35</f>
        <v/>
      </c>
      <c r="L37" s="29">
        <f>L33-L35</f>
        <v/>
      </c>
      <c r="M37" s="29">
        <f>M33-M35</f>
        <v/>
      </c>
      <c r="N37" s="29">
        <f>SUM(B37:M37)</f>
        <v/>
      </c>
    </row>
    <row r="38">
      <c r="A38" s="6" t="inlineStr">
        <is>
          <t>Доплата, % от грязной маржи</t>
        </is>
      </c>
      <c r="B38" s="44">
        <f>IFERROR(B36/B33,0)</f>
        <v/>
      </c>
      <c r="C38" s="44">
        <f>IFERROR(C36/C33,0)</f>
        <v/>
      </c>
      <c r="D38" s="44">
        <f>IFERROR(D36/D33,0)</f>
        <v/>
      </c>
      <c r="E38" s="44">
        <f>IFERROR(E36/E33,0)</f>
        <v/>
      </c>
      <c r="F38" s="44">
        <f>IFERROR(F36/F33,0)</f>
        <v/>
      </c>
      <c r="G38" s="44">
        <f>IFERROR(G36/G33,0)</f>
        <v/>
      </c>
      <c r="H38" s="44">
        <f>IFERROR(H36/H33,0)</f>
        <v/>
      </c>
      <c r="I38" s="44">
        <f>IFERROR(I36/I33,0)</f>
        <v/>
      </c>
      <c r="J38" s="44">
        <f>IFERROR(J36/J33,0)</f>
        <v/>
      </c>
      <c r="K38" s="44">
        <f>IFERROR(K36/K33,0)</f>
        <v/>
      </c>
      <c r="L38" s="44">
        <f>IFERROR(L36/L33,0)</f>
        <v/>
      </c>
      <c r="M38" s="44">
        <f>IFERROR(M36/M33,0)</f>
        <v/>
      </c>
      <c r="N38" s="45">
        <f>IFERROR(N36/N33,0)</f>
        <v/>
      </c>
    </row>
    <row r="40">
      <c r="A40" s="3" t="inlineStr">
        <is>
          <t>Тир 🌲 Лес — ВВ/мес ≥ 35 000 ₽</t>
        </is>
      </c>
    </row>
    <row r="41">
      <c r="A41" s="21" t="inlineStr">
        <is>
          <t>Показатель</t>
        </is>
      </c>
      <c r="B41" s="21" t="inlineStr">
        <is>
          <t>2026-01</t>
        </is>
      </c>
      <c r="C41" s="21" t="inlineStr">
        <is>
          <t>2026-02</t>
        </is>
      </c>
      <c r="D41" s="21" t="inlineStr">
        <is>
          <t>2026-03</t>
        </is>
      </c>
      <c r="E41" s="21" t="inlineStr">
        <is>
          <t>2026-04</t>
        </is>
      </c>
      <c r="F41" s="21" t="inlineStr">
        <is>
          <t>2026-05</t>
        </is>
      </c>
      <c r="G41" s="21" t="inlineStr">
        <is>
          <t>2026-06</t>
        </is>
      </c>
      <c r="H41" s="21" t="inlineStr">
        <is>
          <t>2026-07</t>
        </is>
      </c>
      <c r="I41" s="21" t="inlineStr">
        <is>
          <t>2026-08</t>
        </is>
      </c>
      <c r="J41" s="21" t="inlineStr">
        <is>
          <t>2026-09</t>
        </is>
      </c>
      <c r="K41" s="21" t="inlineStr">
        <is>
          <t>2026-10</t>
        </is>
      </c>
      <c r="L41" s="21" t="inlineStr">
        <is>
          <t>2026-11</t>
        </is>
      </c>
      <c r="M41" s="21" t="inlineStr">
        <is>
          <t>2026-12</t>
        </is>
      </c>
      <c r="N41" s="21" t="inlineStr">
        <is>
          <t>2026 итого</t>
        </is>
      </c>
    </row>
    <row r="42">
      <c r="A42" s="6" t="inlineStr">
        <is>
          <t>Юзеров в тире</t>
        </is>
      </c>
      <c r="B42" s="36">
        <f>Выручка_вход!F6</f>
        <v/>
      </c>
      <c r="C42" s="36">
        <f>Выручка_вход!F7</f>
        <v/>
      </c>
      <c r="D42" s="36">
        <f>Выручка_вход!F8</f>
        <v/>
      </c>
      <c r="E42" s="36">
        <f>Выручка_вход!F9</f>
        <v/>
      </c>
      <c r="F42" s="36">
        <f>Выручка_вход!F10</f>
        <v/>
      </c>
      <c r="G42" s="36">
        <f>Выручка_вход!F11</f>
        <v/>
      </c>
      <c r="H42" s="36">
        <f>Выручка_вход!F12</f>
        <v/>
      </c>
      <c r="I42" s="36">
        <f>Выручка_вход!F13</f>
        <v/>
      </c>
      <c r="J42" s="36">
        <f>Выручка_вход!F14</f>
        <v/>
      </c>
      <c r="K42" s="36">
        <f>Выручка_вход!F15</f>
        <v/>
      </c>
      <c r="L42" s="36">
        <f>Выручка_вход!F16</f>
        <v/>
      </c>
      <c r="M42" s="36">
        <f>Выручка_вход!F17</f>
        <v/>
      </c>
      <c r="N42" s="28">
        <f>AVERAGE(B42:M42)</f>
        <v/>
      </c>
    </row>
    <row r="43">
      <c r="A43" s="6" t="inlineStr">
        <is>
          <t>Индекс месяца (эмиссия)</t>
        </is>
      </c>
      <c r="B43" s="26">
        <f>Допущения!B$34</f>
        <v/>
      </c>
      <c r="C43" s="26">
        <f>Допущения!C$34</f>
        <v/>
      </c>
      <c r="D43" s="26">
        <f>Допущения!D$34</f>
        <v/>
      </c>
      <c r="E43" s="26">
        <f>Допущения!E$34</f>
        <v/>
      </c>
      <c r="F43" s="26">
        <f>Допущения!F$34</f>
        <v/>
      </c>
      <c r="G43" s="26">
        <f>Допущения!G$34</f>
        <v/>
      </c>
      <c r="H43" s="26">
        <f>Допущения!H$34</f>
        <v/>
      </c>
      <c r="I43" s="26">
        <f>Допущения!I$34</f>
        <v/>
      </c>
      <c r="J43" s="26">
        <f>Допущения!J$34</f>
        <v/>
      </c>
      <c r="K43" s="26">
        <f>Допущения!K$34</f>
        <v/>
      </c>
      <c r="L43" s="26">
        <f>Допущения!L$34</f>
        <v/>
      </c>
      <c r="M43" s="26">
        <f>Допущения!M$34</f>
        <v/>
      </c>
      <c r="N43" s="31">
        <f>AVERAGE(B43:M43)</f>
        <v/>
      </c>
    </row>
    <row r="44">
      <c r="A44" s="6" t="inlineStr">
        <is>
          <t>ДОХОД: валовая выручка, ₽</t>
        </is>
      </c>
      <c r="B44" s="25">
        <f>B42*Выручка_вход!J6</f>
        <v/>
      </c>
      <c r="C44" s="25">
        <f>C42*Выручка_вход!J7</f>
        <v/>
      </c>
      <c r="D44" s="25">
        <f>D42*Выручка_вход!J8</f>
        <v/>
      </c>
      <c r="E44" s="25">
        <f>E42*Выручка_вход!J9</f>
        <v/>
      </c>
      <c r="F44" s="25">
        <f>F42*Выручка_вход!J10</f>
        <v/>
      </c>
      <c r="G44" s="25">
        <f>G42*Выручка_вход!J11</f>
        <v/>
      </c>
      <c r="H44" s="25">
        <f>H42*Выручка_вход!J12</f>
        <v/>
      </c>
      <c r="I44" s="25">
        <f>I42*Выручка_вход!J13</f>
        <v/>
      </c>
      <c r="J44" s="25">
        <f>J42*Выручка_вход!J14</f>
        <v/>
      </c>
      <c r="K44" s="25">
        <f>K42*Выручка_вход!J15</f>
        <v/>
      </c>
      <c r="L44" s="25">
        <f>L42*Выручка_вход!J16</f>
        <v/>
      </c>
      <c r="M44" s="25">
        <f>M42*Выручка_вход!J17</f>
        <v/>
      </c>
      <c r="N44" s="29">
        <f>SUM(B44:M44)</f>
        <v/>
      </c>
    </row>
    <row r="45">
      <c r="A45" s="6" t="inlineStr">
        <is>
          <t>ДОХОД: грязная маржа, ₽</t>
        </is>
      </c>
      <c r="B45" s="25">
        <f>B44*Допущения!$B$14</f>
        <v/>
      </c>
      <c r="C45" s="25">
        <f>C44*Допущения!$B$14</f>
        <v/>
      </c>
      <c r="D45" s="25">
        <f>D44*Допущения!$B$14</f>
        <v/>
      </c>
      <c r="E45" s="25">
        <f>E44*Допущения!$B$14</f>
        <v/>
      </c>
      <c r="F45" s="25">
        <f>F44*Допущения!$B$14</f>
        <v/>
      </c>
      <c r="G45" s="25">
        <f>G44*Допущения!$B$14</f>
        <v/>
      </c>
      <c r="H45" s="25">
        <f>H44*Допущения!$B$14</f>
        <v/>
      </c>
      <c r="I45" s="25">
        <f>I44*Допущения!$B$14</f>
        <v/>
      </c>
      <c r="J45" s="25">
        <f>J44*Допущения!$B$14</f>
        <v/>
      </c>
      <c r="K45" s="25">
        <f>K44*Допущения!$B$14</f>
        <v/>
      </c>
      <c r="L45" s="25">
        <f>L44*Допущения!$B$14</f>
        <v/>
      </c>
      <c r="M45" s="25">
        <f>M44*Допущения!$B$14</f>
        <v/>
      </c>
      <c r="N45" s="29">
        <f>SUM(B45:M45)</f>
        <v/>
      </c>
    </row>
    <row r="46">
      <c r="A46" s="6" t="inlineStr">
        <is>
          <t>РАСХОД: эко-бонус базовый, ₽</t>
        </is>
      </c>
      <c r="B46" s="25">
        <f>B42*Допущения!$C$28*B43</f>
        <v/>
      </c>
      <c r="C46" s="25">
        <f>C42*Допущения!$C$28*C43</f>
        <v/>
      </c>
      <c r="D46" s="25">
        <f>D42*Допущения!$C$28*D43</f>
        <v/>
      </c>
      <c r="E46" s="25">
        <f>E42*Допущения!$C$28*E43</f>
        <v/>
      </c>
      <c r="F46" s="25">
        <f>F42*Допущения!$C$28*F43</f>
        <v/>
      </c>
      <c r="G46" s="25">
        <f>G42*Допущения!$C$28*G43</f>
        <v/>
      </c>
      <c r="H46" s="25">
        <f>H42*Допущения!$C$28*H43</f>
        <v/>
      </c>
      <c r="I46" s="25">
        <f>I42*Допущения!$C$28*I43</f>
        <v/>
      </c>
      <c r="J46" s="25">
        <f>J42*Допущения!$C$28*J43</f>
        <v/>
      </c>
      <c r="K46" s="25">
        <f>K42*Допущения!$C$28*K43</f>
        <v/>
      </c>
      <c r="L46" s="25">
        <f>L42*Допущения!$C$28*L43</f>
        <v/>
      </c>
      <c r="M46" s="25">
        <f>M42*Допущения!$C$28*M43</f>
        <v/>
      </c>
      <c r="N46" s="29">
        <f>SUM(B46:M46)</f>
        <v/>
      </c>
    </row>
    <row r="47">
      <c r="A47" s="6" t="inlineStr">
        <is>
          <t>РАСХОД: эко-бонус с механикой, ₽</t>
        </is>
      </c>
      <c r="B47" s="25">
        <f>B46*Допущения!$D$9</f>
        <v/>
      </c>
      <c r="C47" s="25">
        <f>C46*Допущения!$D$9</f>
        <v/>
      </c>
      <c r="D47" s="25">
        <f>D46*Допущения!$D$9</f>
        <v/>
      </c>
      <c r="E47" s="25">
        <f>E46*Допущения!$D$9</f>
        <v/>
      </c>
      <c r="F47" s="25">
        <f>F46*Допущения!$D$9</f>
        <v/>
      </c>
      <c r="G47" s="25">
        <f>G46*Допущения!$D$9</f>
        <v/>
      </c>
      <c r="H47" s="25">
        <f>H46*Допущения!$D$9</f>
        <v/>
      </c>
      <c r="I47" s="25">
        <f>I46*Допущения!$D$9</f>
        <v/>
      </c>
      <c r="J47" s="25">
        <f>J46*Допущения!$D$9</f>
        <v/>
      </c>
      <c r="K47" s="25">
        <f>K46*Допущения!$D$9</f>
        <v/>
      </c>
      <c r="L47" s="25">
        <f>L46*Допущения!$D$9</f>
        <v/>
      </c>
      <c r="M47" s="25">
        <f>M46*Допущения!$D$9</f>
        <v/>
      </c>
      <c r="N47" s="29">
        <f>SUM(B47:M47)</f>
        <v/>
      </c>
    </row>
    <row r="48">
      <c r="A48" s="6" t="inlineStr">
        <is>
          <t>РАСХОД: доплата от механики, ₽</t>
        </is>
      </c>
      <c r="B48" s="25">
        <f>B47-B46</f>
        <v/>
      </c>
      <c r="C48" s="25">
        <f>C47-C46</f>
        <v/>
      </c>
      <c r="D48" s="25">
        <f>D47-D46</f>
        <v/>
      </c>
      <c r="E48" s="25">
        <f>E47-E46</f>
        <v/>
      </c>
      <c r="F48" s="25">
        <f>F47-F46</f>
        <v/>
      </c>
      <c r="G48" s="25">
        <f>G47-G46</f>
        <v/>
      </c>
      <c r="H48" s="25">
        <f>H47-H46</f>
        <v/>
      </c>
      <c r="I48" s="25">
        <f>I47-I46</f>
        <v/>
      </c>
      <c r="J48" s="25">
        <f>J47-J46</f>
        <v/>
      </c>
      <c r="K48" s="25">
        <f>K47-K46</f>
        <v/>
      </c>
      <c r="L48" s="25">
        <f>L47-L46</f>
        <v/>
      </c>
      <c r="M48" s="25">
        <f>M47-M46</f>
        <v/>
      </c>
      <c r="N48" s="29">
        <f>SUM(B48:M48)</f>
        <v/>
      </c>
    </row>
    <row r="49">
      <c r="A49" s="27" t="inlineStr">
        <is>
          <t>ВКЛАД: маржа − бонус с механикой, ₽</t>
        </is>
      </c>
      <c r="B49" s="29">
        <f>B45-B47</f>
        <v/>
      </c>
      <c r="C49" s="29">
        <f>C45-C47</f>
        <v/>
      </c>
      <c r="D49" s="29">
        <f>D45-D47</f>
        <v/>
      </c>
      <c r="E49" s="29">
        <f>E45-E47</f>
        <v/>
      </c>
      <c r="F49" s="29">
        <f>F45-F47</f>
        <v/>
      </c>
      <c r="G49" s="29">
        <f>G45-G47</f>
        <v/>
      </c>
      <c r="H49" s="29">
        <f>H45-H47</f>
        <v/>
      </c>
      <c r="I49" s="29">
        <f>I45-I47</f>
        <v/>
      </c>
      <c r="J49" s="29">
        <f>J45-J47</f>
        <v/>
      </c>
      <c r="K49" s="29">
        <f>K45-K47</f>
        <v/>
      </c>
      <c r="L49" s="29">
        <f>L45-L47</f>
        <v/>
      </c>
      <c r="M49" s="29">
        <f>M45-M47</f>
        <v/>
      </c>
      <c r="N49" s="29">
        <f>SUM(B49:M49)</f>
        <v/>
      </c>
    </row>
    <row r="50">
      <c r="A50" s="6" t="inlineStr">
        <is>
          <t>Доплата, % от грязной маржи</t>
        </is>
      </c>
      <c r="B50" s="44">
        <f>IFERROR(B48/B45,0)</f>
        <v/>
      </c>
      <c r="C50" s="44">
        <f>IFERROR(C48/C45,0)</f>
        <v/>
      </c>
      <c r="D50" s="44">
        <f>IFERROR(D48/D45,0)</f>
        <v/>
      </c>
      <c r="E50" s="44">
        <f>IFERROR(E48/E45,0)</f>
        <v/>
      </c>
      <c r="F50" s="44">
        <f>IFERROR(F48/F45,0)</f>
        <v/>
      </c>
      <c r="G50" s="44">
        <f>IFERROR(G48/G45,0)</f>
        <v/>
      </c>
      <c r="H50" s="44">
        <f>IFERROR(H48/H45,0)</f>
        <v/>
      </c>
      <c r="I50" s="44">
        <f>IFERROR(I48/I45,0)</f>
        <v/>
      </c>
      <c r="J50" s="44">
        <f>IFERROR(J48/J45,0)</f>
        <v/>
      </c>
      <c r="K50" s="44">
        <f>IFERROR(K48/K45,0)</f>
        <v/>
      </c>
      <c r="L50" s="44">
        <f>IFERROR(L48/L45,0)</f>
        <v/>
      </c>
      <c r="M50" s="44">
        <f>IFERROR(M48/M45,0)</f>
        <v/>
      </c>
      <c r="N50" s="45">
        <f>IFERROR(N48/N45,0)</f>
        <v/>
      </c>
    </row>
    <row r="52">
      <c r="A52" s="3" t="inlineStr">
        <is>
          <t>ИТОГО по когорте (все тиры)</t>
        </is>
      </c>
    </row>
    <row r="53">
      <c r="A53" s="21" t="inlineStr">
        <is>
          <t>Показатель</t>
        </is>
      </c>
      <c r="B53" s="21" t="inlineStr">
        <is>
          <t>2026-01</t>
        </is>
      </c>
      <c r="C53" s="21" t="inlineStr">
        <is>
          <t>2026-02</t>
        </is>
      </c>
      <c r="D53" s="21" t="inlineStr">
        <is>
          <t>2026-03</t>
        </is>
      </c>
      <c r="E53" s="21" t="inlineStr">
        <is>
          <t>2026-04</t>
        </is>
      </c>
      <c r="F53" s="21" t="inlineStr">
        <is>
          <t>2026-05</t>
        </is>
      </c>
      <c r="G53" s="21" t="inlineStr">
        <is>
          <t>2026-06</t>
        </is>
      </c>
      <c r="H53" s="21" t="inlineStr">
        <is>
          <t>2026-07</t>
        </is>
      </c>
      <c r="I53" s="21" t="inlineStr">
        <is>
          <t>2026-08</t>
        </is>
      </c>
      <c r="J53" s="21" t="inlineStr">
        <is>
          <t>2026-09</t>
        </is>
      </c>
      <c r="K53" s="21" t="inlineStr">
        <is>
          <t>2026-10</t>
        </is>
      </c>
      <c r="L53" s="21" t="inlineStr">
        <is>
          <t>2026-11</t>
        </is>
      </c>
      <c r="M53" s="21" t="inlineStr">
        <is>
          <t>2026-12</t>
        </is>
      </c>
      <c r="N53" s="21" t="inlineStr">
        <is>
          <t>2026 итого</t>
        </is>
      </c>
    </row>
    <row r="54">
      <c r="A54" s="6" t="inlineStr">
        <is>
          <t>Юзеров в тире</t>
        </is>
      </c>
      <c r="B54" s="36">
        <f>B6+B18+B30+B42</f>
        <v/>
      </c>
      <c r="C54" s="36">
        <f>C6+C18+C30+C42</f>
        <v/>
      </c>
      <c r="D54" s="36">
        <f>D6+D18+D30+D42</f>
        <v/>
      </c>
      <c r="E54" s="36">
        <f>E6+E18+E30+E42</f>
        <v/>
      </c>
      <c r="F54" s="36">
        <f>F6+F18+F30+F42</f>
        <v/>
      </c>
      <c r="G54" s="36">
        <f>G6+G18+G30+G42</f>
        <v/>
      </c>
      <c r="H54" s="36">
        <f>H6+H18+H30+H42</f>
        <v/>
      </c>
      <c r="I54" s="36">
        <f>I6+I18+I30+I42</f>
        <v/>
      </c>
      <c r="J54" s="36">
        <f>J6+J18+J30+J42</f>
        <v/>
      </c>
      <c r="K54" s="36">
        <f>K6+K18+K30+K42</f>
        <v/>
      </c>
      <c r="L54" s="36">
        <f>L6+L18+L30+L42</f>
        <v/>
      </c>
      <c r="M54" s="36">
        <f>M6+M18+M30+M42</f>
        <v/>
      </c>
      <c r="N54" s="28">
        <f>AVERAGE(B54:M54)</f>
        <v/>
      </c>
    </row>
    <row r="55">
      <c r="A55" s="27" t="inlineStr">
        <is>
          <t>ДОХОД: валовая выручка, ₽</t>
        </is>
      </c>
      <c r="B55" s="29">
        <f>B8+B20+B32+B44</f>
        <v/>
      </c>
      <c r="C55" s="29">
        <f>C8+C20+C32+C44</f>
        <v/>
      </c>
      <c r="D55" s="29">
        <f>D8+D20+D32+D44</f>
        <v/>
      </c>
      <c r="E55" s="29">
        <f>E8+E20+E32+E44</f>
        <v/>
      </c>
      <c r="F55" s="29">
        <f>F8+F20+F32+F44</f>
        <v/>
      </c>
      <c r="G55" s="29">
        <f>G8+G20+G32+G44</f>
        <v/>
      </c>
      <c r="H55" s="29">
        <f>H8+H20+H32+H44</f>
        <v/>
      </c>
      <c r="I55" s="29">
        <f>I8+I20+I32+I44</f>
        <v/>
      </c>
      <c r="J55" s="29">
        <f>J8+J20+J32+J44</f>
        <v/>
      </c>
      <c r="K55" s="29">
        <f>K8+K20+K32+K44</f>
        <v/>
      </c>
      <c r="L55" s="29">
        <f>L8+L20+L32+L44</f>
        <v/>
      </c>
      <c r="M55" s="29">
        <f>M8+M20+M32+M44</f>
        <v/>
      </c>
      <c r="N55" s="29">
        <f>SUM(B55:M55)</f>
        <v/>
      </c>
    </row>
    <row r="56">
      <c r="A56" s="27" t="inlineStr">
        <is>
          <t>ДОХОД: грязная маржа, ₽</t>
        </is>
      </c>
      <c r="B56" s="29">
        <f>B9+B21+B33+B45</f>
        <v/>
      </c>
      <c r="C56" s="29">
        <f>C9+C21+C33+C45</f>
        <v/>
      </c>
      <c r="D56" s="29">
        <f>D9+D21+D33+D45</f>
        <v/>
      </c>
      <c r="E56" s="29">
        <f>E9+E21+E33+E45</f>
        <v/>
      </c>
      <c r="F56" s="29">
        <f>F9+F21+F33+F45</f>
        <v/>
      </c>
      <c r="G56" s="29">
        <f>G9+G21+G33+G45</f>
        <v/>
      </c>
      <c r="H56" s="29">
        <f>H9+H21+H33+H45</f>
        <v/>
      </c>
      <c r="I56" s="29">
        <f>I9+I21+I33+I45</f>
        <v/>
      </c>
      <c r="J56" s="29">
        <f>J9+J21+J33+J45</f>
        <v/>
      </c>
      <c r="K56" s="29">
        <f>K9+K21+K33+K45</f>
        <v/>
      </c>
      <c r="L56" s="29">
        <f>L9+L21+L33+L45</f>
        <v/>
      </c>
      <c r="M56" s="29">
        <f>M9+M21+M33+M45</f>
        <v/>
      </c>
      <c r="N56" s="29">
        <f>SUM(B56:M56)</f>
        <v/>
      </c>
    </row>
    <row r="57">
      <c r="A57" s="27" t="inlineStr">
        <is>
          <t>РАСХОД: эко-бонус базовый, ₽</t>
        </is>
      </c>
      <c r="B57" s="29">
        <f>B10+B22+B34+B46</f>
        <v/>
      </c>
      <c r="C57" s="29">
        <f>C10+C22+C34+C46</f>
        <v/>
      </c>
      <c r="D57" s="29">
        <f>D10+D22+D34+D46</f>
        <v/>
      </c>
      <c r="E57" s="29">
        <f>E10+E22+E34+E46</f>
        <v/>
      </c>
      <c r="F57" s="29">
        <f>F10+F22+F34+F46</f>
        <v/>
      </c>
      <c r="G57" s="29">
        <f>G10+G22+G34+G46</f>
        <v/>
      </c>
      <c r="H57" s="29">
        <f>H10+H22+H34+H46</f>
        <v/>
      </c>
      <c r="I57" s="29">
        <f>I10+I22+I34+I46</f>
        <v/>
      </c>
      <c r="J57" s="29">
        <f>J10+J22+J34+J46</f>
        <v/>
      </c>
      <c r="K57" s="29">
        <f>K10+K22+K34+K46</f>
        <v/>
      </c>
      <c r="L57" s="29">
        <f>L10+L22+L34+L46</f>
        <v/>
      </c>
      <c r="M57" s="29">
        <f>M10+M22+M34+M46</f>
        <v/>
      </c>
      <c r="N57" s="29">
        <f>SUM(B57:M57)</f>
        <v/>
      </c>
    </row>
    <row r="58">
      <c r="A58" s="27" t="inlineStr">
        <is>
          <t>РАСХОД: эко-бонус с механикой, ₽</t>
        </is>
      </c>
      <c r="B58" s="29">
        <f>B11+B23+B35+B47</f>
        <v/>
      </c>
      <c r="C58" s="29">
        <f>C11+C23+C35+C47</f>
        <v/>
      </c>
      <c r="D58" s="29">
        <f>D11+D23+D35+D47</f>
        <v/>
      </c>
      <c r="E58" s="29">
        <f>E11+E23+E35+E47</f>
        <v/>
      </c>
      <c r="F58" s="29">
        <f>F11+F23+F35+F47</f>
        <v/>
      </c>
      <c r="G58" s="29">
        <f>G11+G23+G35+G47</f>
        <v/>
      </c>
      <c r="H58" s="29">
        <f>H11+H23+H35+H47</f>
        <v/>
      </c>
      <c r="I58" s="29">
        <f>I11+I23+I35+I47</f>
        <v/>
      </c>
      <c r="J58" s="29">
        <f>J11+J23+J35+J47</f>
        <v/>
      </c>
      <c r="K58" s="29">
        <f>K11+K23+K35+K47</f>
        <v/>
      </c>
      <c r="L58" s="29">
        <f>L11+L23+L35+L47</f>
        <v/>
      </c>
      <c r="M58" s="29">
        <f>M11+M23+M35+M47</f>
        <v/>
      </c>
      <c r="N58" s="29">
        <f>SUM(B58:M58)</f>
        <v/>
      </c>
    </row>
    <row r="59">
      <c r="A59" s="27" t="inlineStr">
        <is>
          <t>РАСХОД: доплата от механики, ₽</t>
        </is>
      </c>
      <c r="B59" s="29">
        <f>B12+B24+B36+B48</f>
        <v/>
      </c>
      <c r="C59" s="29">
        <f>C12+C24+C36+C48</f>
        <v/>
      </c>
      <c r="D59" s="29">
        <f>D12+D24+D36+D48</f>
        <v/>
      </c>
      <c r="E59" s="29">
        <f>E12+E24+E36+E48</f>
        <v/>
      </c>
      <c r="F59" s="29">
        <f>F12+F24+F36+F48</f>
        <v/>
      </c>
      <c r="G59" s="29">
        <f>G12+G24+G36+G48</f>
        <v/>
      </c>
      <c r="H59" s="29">
        <f>H12+H24+H36+H48</f>
        <v/>
      </c>
      <c r="I59" s="29">
        <f>I12+I24+I36+I48</f>
        <v/>
      </c>
      <c r="J59" s="29">
        <f>J12+J24+J36+J48</f>
        <v/>
      </c>
      <c r="K59" s="29">
        <f>K12+K24+K36+K48</f>
        <v/>
      </c>
      <c r="L59" s="29">
        <f>L12+L24+L36+L48</f>
        <v/>
      </c>
      <c r="M59" s="29">
        <f>M12+M24+M36+M48</f>
        <v/>
      </c>
      <c r="N59" s="29">
        <f>SUM(B59:M59)</f>
        <v/>
      </c>
    </row>
    <row r="60">
      <c r="A60" s="27" t="inlineStr">
        <is>
          <t>ВКЛАД: маржа − бонус с механикой, ₽</t>
        </is>
      </c>
      <c r="B60" s="29">
        <f>B13+B25+B37+B49</f>
        <v/>
      </c>
      <c r="C60" s="29">
        <f>C13+C25+C37+C49</f>
        <v/>
      </c>
      <c r="D60" s="29">
        <f>D13+D25+D37+D49</f>
        <v/>
      </c>
      <c r="E60" s="29">
        <f>E13+E25+E37+E49</f>
        <v/>
      </c>
      <c r="F60" s="29">
        <f>F13+F25+F37+F49</f>
        <v/>
      </c>
      <c r="G60" s="29">
        <f>G13+G25+G37+G49</f>
        <v/>
      </c>
      <c r="H60" s="29">
        <f>H13+H25+H37+H49</f>
        <v/>
      </c>
      <c r="I60" s="29">
        <f>I13+I25+I37+I49</f>
        <v/>
      </c>
      <c r="J60" s="29">
        <f>J13+J25+J37+J49</f>
        <v/>
      </c>
      <c r="K60" s="29">
        <f>K13+K25+K37+K49</f>
        <v/>
      </c>
      <c r="L60" s="29">
        <f>L13+L25+L37+L49</f>
        <v/>
      </c>
      <c r="M60" s="29">
        <f>M13+M25+M37+M49</f>
        <v/>
      </c>
      <c r="N60" s="29">
        <f>SUM(B60:M60)</f>
        <v/>
      </c>
    </row>
    <row r="61">
      <c r="A61" s="6" t="inlineStr">
        <is>
          <t>Доплата, % от грязной маржи</t>
        </is>
      </c>
      <c r="B61" s="44">
        <f>IFERROR(B59/B56,0)</f>
        <v/>
      </c>
      <c r="C61" s="44">
        <f>IFERROR(C59/C56,0)</f>
        <v/>
      </c>
      <c r="D61" s="44">
        <f>IFERROR(D59/D56,0)</f>
        <v/>
      </c>
      <c r="E61" s="44">
        <f>IFERROR(E59/E56,0)</f>
        <v/>
      </c>
      <c r="F61" s="44">
        <f>IFERROR(F59/F56,0)</f>
        <v/>
      </c>
      <c r="G61" s="44">
        <f>IFERROR(G59/G56,0)</f>
        <v/>
      </c>
      <c r="H61" s="44">
        <f>IFERROR(H59/H56,0)</f>
        <v/>
      </c>
      <c r="I61" s="44">
        <f>IFERROR(I59/I56,0)</f>
        <v/>
      </c>
      <c r="J61" s="44">
        <f>IFERROR(J59/J56,0)</f>
        <v/>
      </c>
      <c r="K61" s="44">
        <f>IFERROR(K59/K56,0)</f>
        <v/>
      </c>
      <c r="L61" s="44">
        <f>IFERROR(L59/L56,0)</f>
        <v/>
      </c>
      <c r="M61" s="44">
        <f>IFERROR(M59/M56,0)</f>
        <v/>
      </c>
      <c r="N61" s="45">
        <f>IFERROR(N59/N56,0)</f>
        <v/>
      </c>
    </row>
    <row r="63">
      <c r="A63" s="3" t="inlineStr">
        <is>
          <t>Ключевой вывод по расходной части</t>
        </is>
      </c>
    </row>
    <row r="64" ht="60" customHeight="1">
      <c r="A64" s="4" t="inlineStr">
        <is>
          <t>Строка «РАСХОД: доплата от механики» в блоке ИТОГО, столбец N — это «слепая» доплата за 2026 год: сколько мы платим сверх текущего просто за присвоение повышенных коэффициентов, без изменения поведения. В предыдущей версии модели она составляла 35,4 млн ₽/год, потому что тир присваивался по АСР-сегменту и 51 тыс. Амбассадоров попадали в Лес (×2,85), а 85 тыс. Средних — в Дерево (×2,15). По границам валовой выручки в Лес попадают единицы процентов базы, поэтому доплата на порядок меньше.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Unit-экономика перехода между тирами</t>
        </is>
      </c>
    </row>
    <row r="2">
      <c r="A2" s="2" t="inlineStr">
        <is>
          <t>Сколько приносит один пользователь, поднявший валовую выручку до следующего тира. Всё — на одного мигранта в месяц.</t>
        </is>
      </c>
    </row>
    <row r="4" ht="30" customHeight="1">
      <c r="A4" s="5" t="inlineStr">
        <is>
          <t>Шаг перехода</t>
        </is>
      </c>
      <c r="B4" s="5" t="inlineStr">
        <is>
          <t>Ед.</t>
        </is>
      </c>
      <c r="C4" s="5" t="inlineStr">
        <is>
          <t>① Старт → Росток</t>
        </is>
      </c>
      <c r="D4" s="5" t="inlineStr">
        <is>
          <t>② Росток → Дерево</t>
        </is>
      </c>
      <c r="E4" s="5" t="inlineStr">
        <is>
          <t>③ Дерево → Лес</t>
        </is>
      </c>
    </row>
    <row r="5">
      <c r="A5" s="6" t="inlineStr">
        <is>
          <t>ВВ на юзера: исходный тир</t>
        </is>
      </c>
      <c r="B5" s="38" t="inlineStr">
        <is>
          <t>₽/юзер/мес</t>
        </is>
      </c>
      <c r="C5" s="42">
        <f>'Unit-экономика'!C$7</f>
        <v/>
      </c>
      <c r="D5" s="42">
        <f>'Unit-экономика'!D$7</f>
        <v/>
      </c>
      <c r="E5" s="42">
        <f>'Unit-экономика'!E$7</f>
        <v/>
      </c>
    </row>
    <row r="6">
      <c r="A6" s="6" t="inlineStr">
        <is>
          <t>ВВ на юзера: целевой тир</t>
        </is>
      </c>
      <c r="B6" s="38" t="inlineStr">
        <is>
          <t>₽/юзер/мес</t>
        </is>
      </c>
      <c r="C6" s="42">
        <f>'Unit-экономика'!D$7</f>
        <v/>
      </c>
      <c r="D6" s="42">
        <f>'Unit-экономика'!E$7</f>
        <v/>
      </c>
      <c r="E6" s="42">
        <f>'Unit-экономика'!F$7</f>
        <v/>
      </c>
    </row>
    <row r="7">
      <c r="A7" s="6" t="inlineStr">
        <is>
          <t>Δ ВВ (прирост выручки)</t>
        </is>
      </c>
      <c r="B7" s="38" t="inlineStr">
        <is>
          <t>₽/юзер/мес</t>
        </is>
      </c>
      <c r="C7" s="25">
        <f>C6-C5</f>
        <v/>
      </c>
      <c r="D7" s="25">
        <f>D6-D5</f>
        <v/>
      </c>
      <c r="E7" s="25">
        <f>E6-E5</f>
        <v/>
      </c>
    </row>
    <row r="8">
      <c r="A8" s="6" t="inlineStr">
        <is>
          <t>Δ грязная маржа (ДОХОД)</t>
        </is>
      </c>
      <c r="B8" s="38" t="inlineStr">
        <is>
          <t>₽/юзер/мес</t>
        </is>
      </c>
      <c r="C8" s="25">
        <f>C7*Допущения!$B$14</f>
        <v/>
      </c>
      <c r="D8" s="25">
        <f>D7*Допущения!$B$14</f>
        <v/>
      </c>
      <c r="E8" s="25">
        <f>E7*Допущения!$B$14</f>
        <v/>
      </c>
    </row>
    <row r="9">
      <c r="A9" s="6" t="inlineStr">
        <is>
          <t>Множитель: исходный тир</t>
        </is>
      </c>
      <c r="B9" s="38" t="inlineStr">
        <is>
          <t>×</t>
        </is>
      </c>
      <c r="C9" s="39">
        <f>Допущения!$D$6</f>
        <v/>
      </c>
      <c r="D9" s="39">
        <f>Допущения!$D$7</f>
        <v/>
      </c>
      <c r="E9" s="39">
        <f>Допущения!$D$8</f>
        <v/>
      </c>
    </row>
    <row r="10">
      <c r="A10" s="6" t="inlineStr">
        <is>
          <t>Множитель: целевой тир</t>
        </is>
      </c>
      <c r="B10" s="38" t="inlineStr">
        <is>
          <t>×</t>
        </is>
      </c>
      <c r="C10" s="39">
        <f>Допущения!$D$7</f>
        <v/>
      </c>
      <c r="D10" s="39">
        <f>Допущения!$D$8</f>
        <v/>
      </c>
      <c r="E10" s="39">
        <f>Допущения!$D$9</f>
        <v/>
      </c>
    </row>
    <row r="11">
      <c r="A11" s="6" t="inlineStr">
        <is>
          <t>Δ эко-бонус (РАСХОД)</t>
        </is>
      </c>
      <c r="B11" s="38" t="inlineStr">
        <is>
          <t>₽/юзер/мес</t>
        </is>
      </c>
      <c r="C11" s="20">
        <f>Допущения!$C$25*(C10-C9)</f>
        <v/>
      </c>
      <c r="D11" s="20">
        <f>Допущения!$C$26*(D10-D9)</f>
        <v/>
      </c>
      <c r="E11" s="20">
        <f>Допущения!$C$27*(E10-E9)</f>
        <v/>
      </c>
    </row>
    <row r="12">
      <c r="A12" s="27" t="inlineStr">
        <is>
          <t>ЧИСТЫЙ ЭФФЕКТ на мигранта</t>
        </is>
      </c>
      <c r="B12" s="38" t="inlineStr">
        <is>
          <t>₽/юзер/мес</t>
        </is>
      </c>
      <c r="C12" s="29">
        <f>C8-C11</f>
        <v/>
      </c>
      <c r="D12" s="29">
        <f>D8-D11</f>
        <v/>
      </c>
      <c r="E12" s="29">
        <f>E8-E11</f>
        <v/>
      </c>
    </row>
    <row r="13">
      <c r="A13" s="6" t="inlineStr">
        <is>
          <t>Δ бонус, % от Δ маржи</t>
        </is>
      </c>
      <c r="B13" s="38" t="inlineStr">
        <is>
          <t>%</t>
        </is>
      </c>
      <c r="C13" s="44">
        <f>IFERROR(C11/C8,0)</f>
        <v/>
      </c>
      <c r="D13" s="44">
        <f>IFERROR(D11/D8,0)</f>
        <v/>
      </c>
      <c r="E13" s="44">
        <f>IFERROR(E11/E8,0)</f>
        <v/>
      </c>
    </row>
    <row r="14">
      <c r="A14" s="6" t="inlineStr">
        <is>
          <t>Пул-источник: юзеров в исходном тире</t>
        </is>
      </c>
      <c r="B14" s="38" t="inlineStr">
        <is>
          <t>чел</t>
        </is>
      </c>
      <c r="C14" s="41">
        <f>'Unit-экономика'!C$6</f>
        <v/>
      </c>
      <c r="D14" s="41">
        <f>'Unit-экономика'!D$6</f>
        <v/>
      </c>
      <c r="E14" s="41">
        <f>'Unit-экономика'!E$6</f>
        <v/>
      </c>
    </row>
    <row r="17">
      <c r="A17" s="3" t="inlineStr">
        <is>
          <t>Почему переход почти всегда выгоден</t>
        </is>
      </c>
    </row>
    <row r="18" ht="44" customHeight="1">
      <c r="A18" s="4" t="inlineStr">
        <is>
          <t>Δ маржа считается в рублях выручки (тысячи ₽), а Δ бонус — в рублях эко-начисления (единицы ₽), потому что база эко-бонуса ≈ 16 ₽/юзер/мес. Отсюда «Δ бонус, % от Δ маржи» — доли процента. Риск механики не в стоимости перехода, а в «слепой» доплате тем, кто уже в высоком тире и поведение не менял (лист «Тир_Период»).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Сценарии конверсии и порог безубыточности</t>
        </is>
      </c>
    </row>
    <row r="2">
      <c r="A2" s="2" t="inlineStr">
        <is>
          <t>Конверсия — доля пула исходного тира, переходящая в целевой тир за год.</t>
        </is>
      </c>
    </row>
    <row r="4" ht="30" customHeight="1">
      <c r="A4" s="5" t="inlineStr">
        <is>
          <t>Показатель</t>
        </is>
      </c>
      <c r="B4" s="5" t="inlineStr">
        <is>
          <t>Ед.</t>
        </is>
      </c>
      <c r="C4" s="5" t="inlineStr">
        <is>
          <t>Пессимистичный</t>
        </is>
      </c>
      <c r="D4" s="5" t="inlineStr">
        <is>
          <t>Базовый</t>
        </is>
      </c>
      <c r="E4" s="5" t="inlineStr">
        <is>
          <t>Оптимистичный</t>
        </is>
      </c>
    </row>
    <row r="5">
      <c r="A5" s="6" t="inlineStr">
        <is>
          <t>Конверсия шага ①</t>
        </is>
      </c>
      <c r="B5" s="38" t="inlineStr">
        <is>
          <t>% пула/год</t>
        </is>
      </c>
      <c r="C5" s="11" t="n">
        <v>0.05</v>
      </c>
      <c r="D5" s="11" t="n">
        <v>0.1</v>
      </c>
      <c r="E5" s="11" t="n">
        <v>0.2</v>
      </c>
    </row>
    <row r="6">
      <c r="A6" s="6" t="inlineStr">
        <is>
          <t>Конверсия шага ②</t>
        </is>
      </c>
      <c r="B6" s="38" t="inlineStr">
        <is>
          <t>% пула/год</t>
        </is>
      </c>
      <c r="C6" s="11" t="n">
        <v>0.05</v>
      </c>
      <c r="D6" s="11" t="n">
        <v>0.1</v>
      </c>
      <c r="E6" s="11" t="n">
        <v>0.2</v>
      </c>
    </row>
    <row r="7">
      <c r="A7" s="6" t="inlineStr">
        <is>
          <t>Конверсия шага ③</t>
        </is>
      </c>
      <c r="B7" s="38" t="inlineStr">
        <is>
          <t>% пула/год</t>
        </is>
      </c>
      <c r="C7" s="11" t="n">
        <v>0.03</v>
      </c>
      <c r="D7" s="11" t="n">
        <v>0.05</v>
      </c>
      <c r="E7" s="11" t="n">
        <v>0.1</v>
      </c>
    </row>
    <row r="9">
      <c r="A9" s="6" t="inlineStr">
        <is>
          <t>Мигрантов за год</t>
        </is>
      </c>
      <c r="B9" s="38" t="inlineStr">
        <is>
          <t>чел</t>
        </is>
      </c>
      <c r="C9" s="36">
        <f>Миграция!$C$14*C5+Миграция!$D$14*C6+Миграция!$E$14*C7</f>
        <v/>
      </c>
      <c r="D9" s="36">
        <f>Миграция!$C$14*D5+Миграция!$D$14*D6+Миграция!$E$14*D7</f>
        <v/>
      </c>
      <c r="E9" s="36">
        <f>Миграция!$C$14*E5+Миграция!$D$14*E6+Миграция!$E$14*E7</f>
        <v/>
      </c>
    </row>
    <row r="10">
      <c r="A10" s="6" t="inlineStr">
        <is>
          <t>Месяцев работы мигранта в первый год</t>
        </is>
      </c>
      <c r="B10" s="38" t="inlineStr">
        <is>
          <t>мес</t>
        </is>
      </c>
      <c r="C10" s="46" t="n">
        <v>6</v>
      </c>
      <c r="D10" s="46" t="n">
        <v>6</v>
      </c>
      <c r="E10" s="46" t="n">
        <v>6</v>
      </c>
    </row>
    <row r="11">
      <c r="A11" s="27" t="inlineStr">
        <is>
          <t>ДОХОД: прирост грязной маржи за год</t>
        </is>
      </c>
      <c r="B11" s="38" t="inlineStr">
        <is>
          <t>₽/год</t>
        </is>
      </c>
      <c r="C11" s="29">
        <f>C10*(Миграция!$C$14*C5*Миграция!$C$8+Миграция!$D$14*C6*Миграция!$D$8+Миграция!$E$14*C7*Миграция!$E$8)</f>
        <v/>
      </c>
      <c r="D11" s="29">
        <f>D10*(Миграция!$C$14*D5*Миграция!$C$8+Миграция!$D$14*D6*Миграция!$D$8+Миграция!$E$14*D7*Миграция!$E$8)</f>
        <v/>
      </c>
      <c r="E11" s="29">
        <f>E10*(Миграция!$C$14*E5*Миграция!$C$8+Миграция!$D$14*E6*Миграция!$D$8+Миграция!$E$14*E7*Миграция!$E$8)</f>
        <v/>
      </c>
    </row>
    <row r="12">
      <c r="A12" s="27" t="inlineStr">
        <is>
          <t>РАСХОД: бонусы мигрантов за год</t>
        </is>
      </c>
      <c r="B12" s="38" t="inlineStr">
        <is>
          <t>₽/год</t>
        </is>
      </c>
      <c r="C12" s="29">
        <f>C10*(Миграция!$C$14*C5*Миграция!$C$11+Миграция!$D$14*C6*Миграция!$D$11+Миграция!$E$14*C7*Миграция!$E$11)</f>
        <v/>
      </c>
      <c r="D12" s="29">
        <f>D10*(Миграция!$C$14*D5*Миграция!$C$11+Миграция!$D$14*D6*Миграция!$D$11+Миграция!$E$14*D7*Миграция!$E$11)</f>
        <v/>
      </c>
      <c r="E12" s="29">
        <f>E10*(Миграция!$C$14*E5*Миграция!$C$11+Миграция!$D$14*E6*Миграция!$D$11+Миграция!$E$14*E7*Миграция!$E$11)</f>
        <v/>
      </c>
    </row>
    <row r="13">
      <c r="A13" s="27" t="inlineStr">
        <is>
          <t>РАСХОД: слепая доплата за год</t>
        </is>
      </c>
      <c r="B13" s="38" t="inlineStr">
        <is>
          <t>₽/год</t>
        </is>
      </c>
      <c r="C13" s="47">
        <f>Тир_Период!$N$59</f>
        <v/>
      </c>
      <c r="D13" s="47">
        <f>Тир_Период!$N$59</f>
        <v/>
      </c>
      <c r="E13" s="47">
        <f>Тир_Период!$N$59</f>
        <v/>
      </c>
    </row>
    <row r="14">
      <c r="A14" s="27" t="inlineStr">
        <is>
          <t>ЧИСТЫЙ ЭФФЕКТ за год</t>
        </is>
      </c>
      <c r="B14" s="38" t="inlineStr">
        <is>
          <t>₽/год</t>
        </is>
      </c>
      <c r="C14" s="29">
        <f>C11-C12-C13</f>
        <v/>
      </c>
      <c r="D14" s="29">
        <f>D11-D12-D13</f>
        <v/>
      </c>
      <c r="E14" s="29">
        <f>E11-E12-E13</f>
        <v/>
      </c>
    </row>
    <row r="15">
      <c r="A15" s="6" t="inlineStr">
        <is>
          <t>Все бонусные затраты, % от прироста маржи</t>
        </is>
      </c>
      <c r="B15" s="38" t="inlineStr">
        <is>
          <t>%</t>
        </is>
      </c>
      <c r="C15" s="44">
        <f>IFERROR((C12+C13)/C11,0)</f>
        <v/>
      </c>
      <c r="D15" s="44">
        <f>IFERROR((D12+D13)/D11,0)</f>
        <v/>
      </c>
      <c r="E15" s="44">
        <f>IFERROR((E12+E13)/E11,0)</f>
        <v/>
      </c>
    </row>
    <row r="18">
      <c r="A18" s="3" t="inlineStr">
        <is>
          <t>Порог безубыточности</t>
        </is>
      </c>
    </row>
    <row r="19">
      <c r="A19" s="6" t="inlineStr">
        <is>
          <t>Единая конверсия по всем трём шагам, при которой чистый эффект = 0</t>
        </is>
      </c>
      <c r="B19" s="38" t="inlineStr">
        <is>
          <t>% пула/год</t>
        </is>
      </c>
      <c r="C19" s="48">
        <f>IFERROR(Тир_Период!$N$59/($C$10*(Миграция!$C$14*(Миграция!$C$8-Миграция!$C$11)+Миграция!$D$14*(Миграция!$D$8-Миграция!$D$11)+Миграция!$E$14*(Миграция!$E$8-Миграция!$E$11))),0)</f>
        <v/>
      </c>
    </row>
    <row r="21">
      <c r="A21" s="6" t="inlineStr">
        <is>
          <t>Запас до порога: базовый сценарий / порог</t>
        </is>
      </c>
      <c r="B21" s="38" t="inlineStr">
        <is>
          <t>×</t>
        </is>
      </c>
      <c r="C21" s="49">
        <f>IFERROR(AVERAGE(D5:D7)/$C$19,0)</f>
        <v/>
      </c>
    </row>
    <row r="23">
      <c r="A23" s="3" t="inlineStr">
        <is>
          <t>Итог по когорте за 2026 год (из листа «Тир_Период»)</t>
        </is>
      </c>
    </row>
    <row r="24">
      <c r="A24" s="6" t="inlineStr">
        <is>
          <t>ДОХОД: валовая выручка</t>
        </is>
      </c>
      <c r="B24" s="38" t="inlineStr">
        <is>
          <t>₽/год</t>
        </is>
      </c>
      <c r="C24" s="42">
        <f>Тир_Период!$N$55</f>
        <v/>
      </c>
    </row>
    <row r="25">
      <c r="A25" s="6" t="inlineStr">
        <is>
          <t>ДОХОД: грязная маржа</t>
        </is>
      </c>
      <c r="B25" s="38" t="inlineStr">
        <is>
          <t>₽/год</t>
        </is>
      </c>
      <c r="C25" s="42">
        <f>Тир_Период!$N$56</f>
        <v/>
      </c>
    </row>
    <row r="26">
      <c r="A26" s="6" t="inlineStr">
        <is>
          <t>РАСХОД: эко-бонус базовый (как сейчас)</t>
        </is>
      </c>
      <c r="B26" s="38" t="inlineStr">
        <is>
          <t>₽/год</t>
        </is>
      </c>
      <c r="C26" s="42">
        <f>Тир_Период!$N$57</f>
        <v/>
      </c>
    </row>
    <row r="27">
      <c r="A27" s="6" t="inlineStr">
        <is>
          <t>РАСХОД: эко-бонус с механикой</t>
        </is>
      </c>
      <c r="B27" s="38" t="inlineStr">
        <is>
          <t>₽/год</t>
        </is>
      </c>
      <c r="C27" s="42">
        <f>Тир_Период!$N$58</f>
        <v/>
      </c>
    </row>
    <row r="28">
      <c r="A28" s="6" t="inlineStr">
        <is>
          <t>РАСХОД: доплата от механики (слепая)</t>
        </is>
      </c>
      <c r="B28" s="38" t="inlineStr">
        <is>
          <t>₽/год</t>
        </is>
      </c>
      <c r="C28" s="42">
        <f>Тир_Период!$N$59</f>
        <v/>
      </c>
    </row>
    <row r="29">
      <c r="A29" s="27" t="inlineStr">
        <is>
          <t>ВКЛАД до учёта миграции</t>
        </is>
      </c>
      <c r="B29" s="38" t="inlineStr">
        <is>
          <t>₽/год</t>
        </is>
      </c>
      <c r="C29" s="47">
        <f>Тир_Период!$N$60</f>
        <v/>
      </c>
    </row>
    <row r="31" ht="30" customHeight="1">
      <c r="A31" s="9" t="inlineStr">
        <is>
          <t>Порог безубыточности — не прогноз, а свойство конструкции: он показывает, какая доля пула должна подняться в следующий тир, чтобы окупить слепую доплату. Реальную конверсию даст только A/B с holdout.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2026-08-17T14:23:45Z</dcterms:created>
  <dcterms:modified xsi:type="dcterms:W3CDTF">2026-08-17T14:23:45Z</dcterms:modified>
</cp:coreProperties>
</file>